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YATI PATEL\Downloads\"/>
    </mc:Choice>
  </mc:AlternateContent>
  <xr:revisionPtr revIDLastSave="0" documentId="8_{041600FB-1D5F-4316-9F05-79BD59808F85}" xr6:coauthVersionLast="47" xr6:coauthVersionMax="47" xr10:uidLastSave="{00000000-0000-0000-0000-000000000000}"/>
  <bookViews>
    <workbookView xWindow="-108" yWindow="-108" windowWidth="23256" windowHeight="12456" activeTab="5" xr2:uid="{429C78BD-D41E-4DAD-95C3-3B9AB62D93CF}"/>
  </bookViews>
  <sheets>
    <sheet name="Sheet3" sheetId="3" r:id="rId1"/>
    <sheet name="monthly summary" sheetId="8" r:id="rId2"/>
    <sheet name="Sheet4" sheetId="4" r:id="rId3"/>
    <sheet name="Sheet5" sheetId="5" r:id="rId4"/>
    <sheet name="Sheet1" sheetId="1" r:id="rId5"/>
    <sheet name="Dashboard" sheetId="7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8" l="1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3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" i="8"/>
  <c r="G4" i="7"/>
  <c r="E4" i="7"/>
  <c r="C4" i="7"/>
  <c r="A4" i="7"/>
  <c r="O2" i="1" a="1"/>
  <c r="N2" i="1"/>
  <c r="M2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5" i="1"/>
  <c r="L6" i="1"/>
  <c r="L7" i="1"/>
  <c r="L3" i="1"/>
  <c r="L4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J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<sst xmlns="http://schemas.openxmlformats.org/spreadsheetml/2006/main" count="888" uniqueCount="128">
  <si>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</si>
  <si>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</si>
  <si>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</si>
  <si>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</si>
  <si>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</si>
  <si>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</si>
  <si>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</si>
  <si>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</si>
  <si>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</si>
  <si>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</si>
  <si>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</si>
  <si>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</si>
  <si>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</si>
  <si>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</si>
  <si>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</si>
  <si>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</si>
  <si>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</si>
  <si>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</si>
  <si>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</si>
  <si>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</si>
  <si>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</si>
  <si>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</si>
  <si>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</si>
  <si>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</si>
  <si>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</si>
  <si>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</si>
  <si>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</si>
  <si>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</si>
  <si>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</si>
  <si>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</si>
  <si>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</si>
  <si>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</si>
  <si>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</si>
  <si>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</si>
  <si>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</si>
  <si>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</si>
  <si>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</si>
  <si>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</si>
  <si>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</si>
  <si>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</si>
  <si>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</si>
  <si>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</si>
  <si>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</si>
  <si>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</si>
  <si>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</si>
  <si>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</si>
  <si>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</si>
  <si>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</si>
  <si>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</si>
  <si>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</si>
  <si>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</si>
  <si>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</si>
  <si>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</si>
  <si>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</si>
  <si>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</si>
  <si>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</si>
  <si>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</si>
  <si>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</si>
  <si>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</si>
  <si>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</si>
  <si>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</si>
  <si>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</si>
  <si>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</si>
  <si>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</si>
  <si>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</si>
  <si>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</si>
  <si>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</si>
  <si>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</si>
  <si>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</si>
  <si>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</si>
  <si>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</si>
  <si>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</si>
  <si>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</si>
  <si>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</si>
  <si>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</si>
  <si>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</si>
  <si>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Row Labels</t>
  </si>
  <si>
    <t>Grand Total</t>
  </si>
  <si>
    <t>Total Sales</t>
  </si>
  <si>
    <t>Sum of Total Sales</t>
  </si>
  <si>
    <t>Column Labels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</si>
  <si>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</si>
  <si>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</si>
  <si>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</si>
  <si>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</si>
  <si>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</si>
  <si>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</si>
  <si>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</si>
  <si>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</si>
  <si>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</si>
  <si>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</si>
  <si>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</si>
  <si>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</si>
  <si>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</si>
  <si>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</si>
  <si>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</si>
  <si>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</si>
  <si>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</si>
  <si>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</si>
  <si>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</si>
  <si>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</si>
  <si>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</si>
  <si>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</si>
  <si>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</si>
  <si>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</si>
  <si>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</si>
  <si>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</si>
  <si>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</si>
  <si>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</si>
  <si>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</si>
  <si>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</si>
  <si>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</si>
  <si>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</si>
  <si>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</si>
  <si>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</si>
  <si>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</si>
  <si>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</si>
  <si>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Timestamp</t>
  </si>
  <si>
    <t>Highest sales</t>
  </si>
  <si>
    <t>highest purchase</t>
  </si>
  <si>
    <t>High value customer</t>
  </si>
  <si>
    <t>sales and profit dashboard</t>
  </si>
  <si>
    <t>Total profit</t>
  </si>
  <si>
    <t>Total quantity</t>
  </si>
  <si>
    <t>Average Sales</t>
  </si>
  <si>
    <t>month</t>
  </si>
  <si>
    <t>total sales</t>
  </si>
  <si>
    <t>sales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</si>
</sst>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14" fontId="3" fillId="0" borderId="1" xfId="0" applyNumberFormat="1" applyFont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2" xfId="0" applyFont="1" applyBorder="1" applyAlignment="1">
      <alignment wrapText="1"/>
    </xf>
    <xf numFmtId="0" fontId="0" fillId="0" borderId="3" xfId="0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22" fontId="0" fillId="0" borderId="0" xfId="0" applyNumberFormat="1"/>
    <xf numFmtId="17" fontId="0" fillId="0" borderId="0" xfId="0" applyNumberFormat="1"/>
    <xf numFmtId="17" fontId="3" fillId="0" borderId="1" xfId="0" applyNumberFormat="1" applyFont="1" applyBorder="1" applyAlignment="1">
      <alignment horizontal="right" wrapText="1"/>
    </xf>
    <xf numFmtId="9" fontId="0" fillId="0" borderId="0" xfId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5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2.xlsx]Sheet3!PivotTable2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sales</a:t>
            </a:r>
            <a:r>
              <a:rPr lang="en-IN" baseline="0"/>
              <a:t> by product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Sheet3!$B$3:$B$4</c:f>
              <c:strCache>
                <c:ptCount val="1"/>
                <c:pt idx="0">
                  <c:v>Books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4B-490F-BE0B-6852EA76AF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4B-490F-BE0B-6852EA76AF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44B-490F-BE0B-6852EA76AF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44B-490F-BE0B-6852EA76AF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44B-490F-BE0B-6852EA76AF47}"/>
              </c:ext>
            </c:extLst>
          </c:dPt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111703.11</c:v>
                </c:pt>
                <c:pt idx="1">
                  <c:v>114077.53</c:v>
                </c:pt>
                <c:pt idx="2">
                  <c:v>81566.62000000001</c:v>
                </c:pt>
                <c:pt idx="3">
                  <c:v>105665.38</c:v>
                </c:pt>
                <c:pt idx="4">
                  <c:v>74553.33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4-4A0A-85DB-92B06FBBA70A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Clothing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44B-490F-BE0B-6852EA76AF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44B-490F-BE0B-6852EA76AF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44B-490F-BE0B-6852EA76AF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44B-490F-BE0B-6852EA76AF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44B-490F-BE0B-6852EA76AF47}"/>
              </c:ext>
            </c:extLst>
          </c:dPt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131112.08000000002</c:v>
                </c:pt>
                <c:pt idx="1">
                  <c:v>28796.36</c:v>
                </c:pt>
                <c:pt idx="2">
                  <c:v>80866.950000000012</c:v>
                </c:pt>
                <c:pt idx="3">
                  <c:v>49695.25</c:v>
                </c:pt>
                <c:pt idx="4">
                  <c:v>109729.74000000002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74-4A0A-85DB-92B06FBBA70A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Electronics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44B-490F-BE0B-6852EA76AF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44B-490F-BE0B-6852EA76AF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144B-490F-BE0B-6852EA76AF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144B-490F-BE0B-6852EA76AF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144B-490F-BE0B-6852EA76AF47}"/>
              </c:ext>
            </c:extLst>
          </c:dPt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Sheet3!$D$5:$D$10</c:f>
              <c:numCache>
                <c:formatCode>General</c:formatCode>
                <c:ptCount val="5"/>
                <c:pt idx="0">
                  <c:v>46833.81</c:v>
                </c:pt>
                <c:pt idx="1">
                  <c:v>30233.27</c:v>
                </c:pt>
                <c:pt idx="2">
                  <c:v>68660.670000000013</c:v>
                </c:pt>
                <c:pt idx="3">
                  <c:v>108159.85999999997</c:v>
                </c:pt>
                <c:pt idx="4">
                  <c:v>153861.12999999998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74-4A0A-85DB-92B06FBBA70A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Furniture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144B-490F-BE0B-6852EA76AF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144B-490F-BE0B-6852EA76AF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144B-490F-BE0B-6852EA76AF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144B-490F-BE0B-6852EA76AF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144B-490F-BE0B-6852EA76AF47}"/>
              </c:ext>
            </c:extLst>
          </c:dPt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Sheet3!$E$5:$E$10</c:f>
              <c:numCache>
                <c:formatCode>General</c:formatCode>
                <c:ptCount val="5"/>
                <c:pt idx="0">
                  <c:v>52264.37</c:v>
                </c:pt>
                <c:pt idx="1">
                  <c:v>101055.84999999999</c:v>
                </c:pt>
                <c:pt idx="2">
                  <c:v>67971.259999999995</c:v>
                </c:pt>
                <c:pt idx="3">
                  <c:v>72367.650000000009</c:v>
                </c:pt>
                <c:pt idx="4">
                  <c:v>63281.060000000005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74-4A0A-85DB-92B06FBBA70A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Office Supplies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144B-490F-BE0B-6852EA76AF4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144B-490F-BE0B-6852EA76AF4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144B-490F-BE0B-6852EA76AF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144B-490F-BE0B-6852EA76AF4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1-144B-490F-BE0B-6852EA76AF47}"/>
              </c:ext>
            </c:extLst>
          </c:dPt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Sheet3!$F$5:$F$10</c:f>
              <c:numCache>
                <c:formatCode>General</c:formatCode>
                <c:ptCount val="5"/>
                <c:pt idx="0">
                  <c:v>69377.25</c:v>
                </c:pt>
                <c:pt idx="1">
                  <c:v>96560.239999999991</c:v>
                </c:pt>
                <c:pt idx="2">
                  <c:v>31642.59</c:v>
                </c:pt>
                <c:pt idx="3">
                  <c:v>31758.28</c:v>
                </c:pt>
                <c:pt idx="4">
                  <c:v>61316.409999999996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74-4A0A-85DB-92B06FBBA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2.xlsx]Sheet3!PivotTable2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  <a:sp3d/>
          </c:spPr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111703.11</c:v>
                </c:pt>
                <c:pt idx="1">
                  <c:v>114077.53</c:v>
                </c:pt>
                <c:pt idx="2">
                  <c:v>81566.62000000001</c:v>
                </c:pt>
                <c:pt idx="3">
                  <c:v>105665.38</c:v>
                </c:pt>
                <c:pt idx="4">
                  <c:v>74553.33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85-4059-9168-2694C5F24F93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131112.08000000002</c:v>
                </c:pt>
                <c:pt idx="1">
                  <c:v>28796.36</c:v>
                </c:pt>
                <c:pt idx="2">
                  <c:v>80866.950000000012</c:v>
                </c:pt>
                <c:pt idx="3">
                  <c:v>49695.25</c:v>
                </c:pt>
                <c:pt idx="4">
                  <c:v>109729.74000000002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85-4059-9168-2694C5F24F93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Sheet3!$D$5:$D$10</c:f>
              <c:numCache>
                <c:formatCode>General</c:formatCode>
                <c:ptCount val="5"/>
                <c:pt idx="0">
                  <c:v>46833.81</c:v>
                </c:pt>
                <c:pt idx="1">
                  <c:v>30233.27</c:v>
                </c:pt>
                <c:pt idx="2">
                  <c:v>68660.670000000013</c:v>
                </c:pt>
                <c:pt idx="3">
                  <c:v>108159.85999999997</c:v>
                </c:pt>
                <c:pt idx="4">
                  <c:v>153861.12999999998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85-4059-9168-2694C5F24F93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Sheet3!$E$5:$E$10</c:f>
              <c:numCache>
                <c:formatCode>General</c:formatCode>
                <c:ptCount val="5"/>
                <c:pt idx="0">
                  <c:v>52264.37</c:v>
                </c:pt>
                <c:pt idx="1">
                  <c:v>101055.84999999999</c:v>
                </c:pt>
                <c:pt idx="2">
                  <c:v>67971.259999999995</c:v>
                </c:pt>
                <c:pt idx="3">
                  <c:v>72367.650000000009</c:v>
                </c:pt>
                <c:pt idx="4">
                  <c:v>63281.060000000005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85-4059-9168-2694C5F24F93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Sheet3!$F$5:$F$10</c:f>
              <c:numCache>
                <c:formatCode>General</c:formatCode>
                <c:ptCount val="5"/>
                <c:pt idx="0">
                  <c:v>69377.25</c:v>
                </c:pt>
                <c:pt idx="1">
                  <c:v>96560.239999999991</c:v>
                </c:pt>
                <c:pt idx="2">
                  <c:v>31642.59</c:v>
                </c:pt>
                <c:pt idx="3">
                  <c:v>31758.28</c:v>
                </c:pt>
                <c:pt idx="4">
                  <c:v>61316.409999999996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85-4059-9168-2694C5F24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727119"/>
        <c:axId val="2038495823"/>
        <c:axId val="320851311"/>
      </c:line3DChart>
      <c:catAx>
        <c:axId val="296727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95823"/>
        <c:crosses val="autoZero"/>
        <c:auto val="1"/>
        <c:lblAlgn val="ctr"/>
        <c:lblOffset val="100"/>
        <c:noMultiLvlLbl val="0"/>
      </c:catAx>
      <c:valAx>
        <c:axId val="203849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727119"/>
        <c:crosses val="autoZero"/>
        <c:crossBetween val="between"/>
      </c:valAx>
      <c:serAx>
        <c:axId val="3208513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9582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2.xlsx]Sheet3!PivotTable2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sales</a:t>
            </a:r>
            <a:r>
              <a:rPr lang="en-IN" baseline="0"/>
              <a:t> by region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111703.11</c:v>
                </c:pt>
                <c:pt idx="1">
                  <c:v>114077.53</c:v>
                </c:pt>
                <c:pt idx="2">
                  <c:v>81566.62000000001</c:v>
                </c:pt>
                <c:pt idx="3">
                  <c:v>105665.38</c:v>
                </c:pt>
                <c:pt idx="4">
                  <c:v>74553.33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C-41F6-8521-2F4D07983B0E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131112.08000000002</c:v>
                </c:pt>
                <c:pt idx="1">
                  <c:v>28796.36</c:v>
                </c:pt>
                <c:pt idx="2">
                  <c:v>80866.950000000012</c:v>
                </c:pt>
                <c:pt idx="3">
                  <c:v>49695.25</c:v>
                </c:pt>
                <c:pt idx="4">
                  <c:v>109729.74000000002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FC-41F6-8521-2F4D07983B0E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Sheet3!$D$5:$D$10</c:f>
              <c:numCache>
                <c:formatCode>General</c:formatCode>
                <c:ptCount val="5"/>
                <c:pt idx="0">
                  <c:v>46833.81</c:v>
                </c:pt>
                <c:pt idx="1">
                  <c:v>30233.27</c:v>
                </c:pt>
                <c:pt idx="2">
                  <c:v>68660.670000000013</c:v>
                </c:pt>
                <c:pt idx="3">
                  <c:v>108159.85999999997</c:v>
                </c:pt>
                <c:pt idx="4">
                  <c:v>153861.12999999998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FC-41F6-8521-2F4D07983B0E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Sheet3!$E$5:$E$10</c:f>
              <c:numCache>
                <c:formatCode>General</c:formatCode>
                <c:ptCount val="5"/>
                <c:pt idx="0">
                  <c:v>52264.37</c:v>
                </c:pt>
                <c:pt idx="1">
                  <c:v>101055.84999999999</c:v>
                </c:pt>
                <c:pt idx="2">
                  <c:v>67971.259999999995</c:v>
                </c:pt>
                <c:pt idx="3">
                  <c:v>72367.650000000009</c:v>
                </c:pt>
                <c:pt idx="4">
                  <c:v>63281.060000000005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9FC-41F6-8521-2F4D07983B0E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Sheet3!$F$5:$F$10</c:f>
              <c:numCache>
                <c:formatCode>General</c:formatCode>
                <c:ptCount val="5"/>
                <c:pt idx="0">
                  <c:v>69377.25</c:v>
                </c:pt>
                <c:pt idx="1">
                  <c:v>96560.239999999991</c:v>
                </c:pt>
                <c:pt idx="2">
                  <c:v>31642.59</c:v>
                </c:pt>
                <c:pt idx="3">
                  <c:v>31758.28</c:v>
                </c:pt>
                <c:pt idx="4">
                  <c:v>61316.409999999996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FC-41F6-8521-2F4D07983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06382863"/>
        <c:axId val="2038513103"/>
        <c:axId val="0"/>
      </c:bar3DChart>
      <c:catAx>
        <c:axId val="30638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513103"/>
        <c:crosses val="autoZero"/>
        <c:auto val="1"/>
        <c:lblAlgn val="ctr"/>
        <c:lblOffset val="100"/>
        <c:noMultiLvlLbl val="0"/>
      </c:catAx>
      <c:valAx>
        <c:axId val="203851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38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2.xlsx]Dashboard!PivotTable3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Dashboard!$B$7:$B$8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Dashboard!$A$9:$A$14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Dashboard!$B$9:$B$14</c:f>
              <c:numCache>
                <c:formatCode>General</c:formatCode>
                <c:ptCount val="5"/>
                <c:pt idx="0">
                  <c:v>111703.11</c:v>
                </c:pt>
                <c:pt idx="1">
                  <c:v>114077.53</c:v>
                </c:pt>
                <c:pt idx="2">
                  <c:v>81566.62000000001</c:v>
                </c:pt>
                <c:pt idx="3">
                  <c:v>105665.38</c:v>
                </c:pt>
                <c:pt idx="4">
                  <c:v>74553.33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8-4E7A-BE49-08A3A2DE9384}"/>
            </c:ext>
          </c:extLst>
        </c:ser>
        <c:ser>
          <c:idx val="1"/>
          <c:order val="1"/>
          <c:tx>
            <c:strRef>
              <c:f>Dashboard!$C$7:$C$8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Dashboard!$A$9:$A$14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Dashboard!$C$9:$C$14</c:f>
              <c:numCache>
                <c:formatCode>General</c:formatCode>
                <c:ptCount val="5"/>
                <c:pt idx="0">
                  <c:v>131112.08000000002</c:v>
                </c:pt>
                <c:pt idx="1">
                  <c:v>28796.36</c:v>
                </c:pt>
                <c:pt idx="2">
                  <c:v>80866.950000000012</c:v>
                </c:pt>
                <c:pt idx="3">
                  <c:v>49695.25</c:v>
                </c:pt>
                <c:pt idx="4">
                  <c:v>109729.74000000002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98-4E7A-BE49-08A3A2DE9384}"/>
            </c:ext>
          </c:extLst>
        </c:ser>
        <c:ser>
          <c:idx val="2"/>
          <c:order val="2"/>
          <c:tx>
            <c:strRef>
              <c:f>Dashboard!$D$7:$D$8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Dashboard!$A$9:$A$14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Dashboard!$D$9:$D$14</c:f>
              <c:numCache>
                <c:formatCode>General</c:formatCode>
                <c:ptCount val="5"/>
                <c:pt idx="0">
                  <c:v>46833.81</c:v>
                </c:pt>
                <c:pt idx="1">
                  <c:v>30233.27</c:v>
                </c:pt>
                <c:pt idx="2">
                  <c:v>68660.670000000013</c:v>
                </c:pt>
                <c:pt idx="3">
                  <c:v>108159.85999999997</c:v>
                </c:pt>
                <c:pt idx="4">
                  <c:v>153861.12999999998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98-4E7A-BE49-08A3A2DE9384}"/>
            </c:ext>
          </c:extLst>
        </c:ser>
        <c:ser>
          <c:idx val="3"/>
          <c:order val="3"/>
          <c:tx>
            <c:strRef>
              <c:f>Dashboard!$E$7:$E$8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Dashboard!$A$9:$A$14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Dashboard!$E$9:$E$14</c:f>
              <c:numCache>
                <c:formatCode>General</c:formatCode>
                <c:ptCount val="5"/>
                <c:pt idx="0">
                  <c:v>52264.37</c:v>
                </c:pt>
                <c:pt idx="1">
                  <c:v>101055.84999999999</c:v>
                </c:pt>
                <c:pt idx="2">
                  <c:v>67971.259999999995</c:v>
                </c:pt>
                <c:pt idx="3">
                  <c:v>72367.650000000009</c:v>
                </c:pt>
                <c:pt idx="4">
                  <c:v>63281.060000000005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98-4E7A-BE49-08A3A2DE9384}"/>
            </c:ext>
          </c:extLst>
        </c:ser>
        <c:ser>
          <c:idx val="4"/>
          <c:order val="4"/>
          <c:tx>
            <c:strRef>
              <c:f>Dashboard!$F$7:$F$8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Dashboard!$A$9:$A$14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Dashboard!$F$9:$F$14</c:f>
              <c:numCache>
                <c:formatCode>General</c:formatCode>
                <c:ptCount val="5"/>
                <c:pt idx="0">
                  <c:v>69377.25</c:v>
                </c:pt>
                <c:pt idx="1">
                  <c:v>96560.239999999991</c:v>
                </c:pt>
                <c:pt idx="2">
                  <c:v>31642.59</c:v>
                </c:pt>
                <c:pt idx="3">
                  <c:v>31758.28</c:v>
                </c:pt>
                <c:pt idx="4">
                  <c:v>61316.409999999996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98-4E7A-BE49-08A3A2DE9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8799055"/>
        <c:axId val="2038521743"/>
      </c:barChart>
      <c:catAx>
        <c:axId val="298799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521743"/>
        <c:crosses val="autoZero"/>
        <c:auto val="1"/>
        <c:lblAlgn val="ctr"/>
        <c:lblOffset val="100"/>
        <c:noMultiLvlLbl val="0"/>
      </c:catAx>
      <c:valAx>
        <c:axId val="203852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799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2.xlsx]Sheet3!PivotTable2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  <a:sp3d/>
          </c:spPr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111703.11</c:v>
                </c:pt>
                <c:pt idx="1">
                  <c:v>114077.53</c:v>
                </c:pt>
                <c:pt idx="2">
                  <c:v>81566.62000000001</c:v>
                </c:pt>
                <c:pt idx="3">
                  <c:v>105665.38</c:v>
                </c:pt>
                <c:pt idx="4">
                  <c:v>74553.33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0-47DD-A895-0B45A826CB92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131112.08000000002</c:v>
                </c:pt>
                <c:pt idx="1">
                  <c:v>28796.36</c:v>
                </c:pt>
                <c:pt idx="2">
                  <c:v>80866.950000000012</c:v>
                </c:pt>
                <c:pt idx="3">
                  <c:v>49695.25</c:v>
                </c:pt>
                <c:pt idx="4">
                  <c:v>109729.74000000002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B0-47DD-A895-0B45A826CB92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Sheet3!$D$5:$D$10</c:f>
              <c:numCache>
                <c:formatCode>General</c:formatCode>
                <c:ptCount val="5"/>
                <c:pt idx="0">
                  <c:v>46833.81</c:v>
                </c:pt>
                <c:pt idx="1">
                  <c:v>30233.27</c:v>
                </c:pt>
                <c:pt idx="2">
                  <c:v>68660.670000000013</c:v>
                </c:pt>
                <c:pt idx="3">
                  <c:v>108159.85999999997</c:v>
                </c:pt>
                <c:pt idx="4">
                  <c:v>153861.12999999998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B0-47DD-A895-0B45A826CB92}"/>
            </c:ext>
          </c:extLst>
        </c:ser>
        <c:ser>
          <c:idx val="3"/>
          <c:order val="3"/>
          <c:tx>
            <c:strRef>
              <c:f>Sheet3!$E$3:$E$4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Sheet3!$E$5:$E$10</c:f>
              <c:numCache>
                <c:formatCode>General</c:formatCode>
                <c:ptCount val="5"/>
                <c:pt idx="0">
                  <c:v>52264.37</c:v>
                </c:pt>
                <c:pt idx="1">
                  <c:v>101055.84999999999</c:v>
                </c:pt>
                <c:pt idx="2">
                  <c:v>67971.259999999995</c:v>
                </c:pt>
                <c:pt idx="3">
                  <c:v>72367.650000000009</c:v>
                </c:pt>
                <c:pt idx="4">
                  <c:v>63281.060000000005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B0-47DD-A895-0B45A826CB92}"/>
            </c:ext>
          </c:extLst>
        </c:ser>
        <c:ser>
          <c:idx val="4"/>
          <c:order val="4"/>
          <c:tx>
            <c:strRef>
              <c:f>Sheet3!$F$3:$F$4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Sheet3!$A$5:$A$10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Sheet3!$F$5:$F$10</c:f>
              <c:numCache>
                <c:formatCode>General</c:formatCode>
                <c:ptCount val="5"/>
                <c:pt idx="0">
                  <c:v>69377.25</c:v>
                </c:pt>
                <c:pt idx="1">
                  <c:v>96560.239999999991</c:v>
                </c:pt>
                <c:pt idx="2">
                  <c:v>31642.59</c:v>
                </c:pt>
                <c:pt idx="3">
                  <c:v>31758.28</c:v>
                </c:pt>
                <c:pt idx="4">
                  <c:v>61316.409999999996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B0-47DD-A895-0B45A826C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6727119"/>
        <c:axId val="2038495823"/>
        <c:axId val="320851311"/>
      </c:line3DChart>
      <c:catAx>
        <c:axId val="296727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95823"/>
        <c:crosses val="autoZero"/>
        <c:auto val="1"/>
        <c:lblAlgn val="ctr"/>
        <c:lblOffset val="100"/>
        <c:noMultiLvlLbl val="0"/>
      </c:catAx>
      <c:valAx>
        <c:axId val="203849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727119"/>
        <c:crosses val="autoZero"/>
        <c:crossBetween val="between"/>
      </c:valAx>
      <c:serAx>
        <c:axId val="3208513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95823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10</xdr:row>
      <xdr:rowOff>64770</xdr:rowOff>
    </xdr:from>
    <xdr:to>
      <xdr:col>5</xdr:col>
      <xdr:colOff>167640</xdr:colOff>
      <xdr:row>25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1E6882-0046-A209-AC04-FAE710DD4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91440</xdr:colOff>
      <xdr:row>0</xdr:row>
      <xdr:rowOff>0</xdr:rowOff>
    </xdr:from>
    <xdr:to>
      <xdr:col>14</xdr:col>
      <xdr:colOff>396240</xdr:colOff>
      <xdr:row>15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183D0D6-FC7A-9AA9-F3F7-785DDF9A9D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403860</xdr:colOff>
      <xdr:row>15</xdr:row>
      <xdr:rowOff>49530</xdr:rowOff>
    </xdr:from>
    <xdr:to>
      <xdr:col>13</xdr:col>
      <xdr:colOff>350520</xdr:colOff>
      <xdr:row>30</xdr:row>
      <xdr:rowOff>49530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84F1BF-3806-7982-D915-1E80E506A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38100</xdr:rowOff>
    </xdr:from>
    <xdr:to>
      <xdr:col>5</xdr:col>
      <xdr:colOff>106680</xdr:colOff>
      <xdr:row>28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5CF986-8520-209D-568B-935D184D2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259080</xdr:colOff>
      <xdr:row>14</xdr:row>
      <xdr:rowOff>76200</xdr:rowOff>
    </xdr:from>
    <xdr:to>
      <xdr:col>11</xdr:col>
      <xdr:colOff>68580</xdr:colOff>
      <xdr:row>29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C1F638-C8BB-4D07-8A98-5F95ED4AC0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YATI PATEL" refreshedDate="46301.633856712964" createdVersion="8" refreshedVersion="8" minRefreshableVersion="3" recordCount="199" xr:uid="{676129C1-B7D8-4509-B2FA-53F6F9666E01}">
  <cacheSource type="worksheet">
    <worksheetSource ref="A1:K200" sheet="Sheet1"/>
  </cacheSource>
  <cacheFields count="11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-67108.664000000004" maxValue="0.2"/>
    </cacheField>
    <cacheField name="Order_Date" numFmtId="14">
      <sharedItems containsSemiMixedTypes="0" containsNonDate="0" containsDate="1" containsString="0" minDate="2024-04-10T00:00:00" maxDate="2025-04-06T00:00:00"/>
    </cacheField>
    <cacheField name="Profit" numFmtId="0">
      <sharedItems containsSemiMixedTypes="0" containsString="0" containsNumber="1" minValue="64.63" maxValue="769.46"/>
    </cacheField>
    <cacheField name="Field10" caption="Field10" numFmtId="0">
      <sharedItems containsString="0" containsBlank="1" containsNumber="1" minValue="340.9349748743719" maxValue="340.9349748743719"/>
    </cacheField>
    <cacheField name="Total Sales" numFmtId="0">
      <sharedItems containsSemiMixedTypes="0" containsString="0" containsNumber="1" minValue="309.42" maxValue="27435.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s v="CUST019"/>
    <s v="James Davis"/>
    <x v="0"/>
    <x v="0"/>
    <n v="1036.0899999999999"/>
    <n v="4"/>
    <n v="-67108.664000000004"/>
    <d v="2024-04-10T00:00:00"/>
    <n v="331.55"/>
    <m/>
    <n v="4144.3599999999997"/>
  </r>
  <r>
    <s v="CUST012"/>
    <s v="Robert Anderson"/>
    <x v="0"/>
    <x v="1"/>
    <n v="1101.28"/>
    <n v="3"/>
    <n v="0.2"/>
    <d v="2024-04-11T00:00:00"/>
    <n v="440.51"/>
    <m/>
    <n v="3303.84"/>
  </r>
  <r>
    <s v="CUST017"/>
    <s v="James Taylor"/>
    <x v="1"/>
    <x v="0"/>
    <n v="713.34"/>
    <n v="17"/>
    <n v="0"/>
    <d v="2024-04-14T00:00:00"/>
    <n v="285.33999999999997"/>
    <m/>
    <n v="12126.78"/>
  </r>
  <r>
    <s v="CUST005"/>
    <s v="Robert Anderson"/>
    <x v="2"/>
    <x v="2"/>
    <n v="760.93"/>
    <n v="4"/>
    <n v="0.15"/>
    <d v="2024-04-14T00:00:00"/>
    <n v="161.69999999999999"/>
    <m/>
    <n v="3043.72"/>
  </r>
  <r>
    <s v="CUST030"/>
    <s v="James Wilson"/>
    <x v="3"/>
    <x v="0"/>
    <n v="847"/>
    <n v="12"/>
    <n v="0.2"/>
    <d v="2024-04-15T00:00:00"/>
    <n v="271.04000000000002"/>
    <n v="340.9349748743719"/>
    <n v="10164"/>
  </r>
  <r>
    <s v="CUST007"/>
    <s v="Michael Anderson"/>
    <x v="3"/>
    <x v="3"/>
    <n v="965.64"/>
    <n v="8"/>
    <n v="0.1"/>
    <d v="2024-04-16T00:00:00"/>
    <n v="304.18"/>
    <m/>
    <n v="7725.12"/>
  </r>
  <r>
    <s v="CUST001"/>
    <s v="Linda Wilson"/>
    <x v="0"/>
    <x v="2"/>
    <n v="1317.53"/>
    <n v="12"/>
    <n v="0.05"/>
    <d v="2024-04-16T00:00:00"/>
    <n v="312.91000000000003"/>
    <m/>
    <n v="15810.36"/>
  </r>
  <r>
    <s v="CUST026"/>
    <s v="Mary Davis"/>
    <x v="1"/>
    <x v="3"/>
    <n v="1074.47"/>
    <n v="6"/>
    <n v="0.2"/>
    <d v="2024-04-19T00:00:00"/>
    <n v="300.85000000000002"/>
    <m/>
    <n v="6446.82"/>
  </r>
  <r>
    <s v="CUST009"/>
    <s v="Linda Jackson"/>
    <x v="4"/>
    <x v="0"/>
    <n v="501.54"/>
    <n v="11"/>
    <n v="0.05"/>
    <d v="2024-04-19T00:00:00"/>
    <n v="190.59"/>
    <m/>
    <n v="5516.9400000000005"/>
  </r>
  <r>
    <s v="CUST010"/>
    <s v="David Thomas"/>
    <x v="4"/>
    <x v="1"/>
    <n v="737.31"/>
    <n v="2"/>
    <n v="0.05"/>
    <d v="2024-04-19T00:00:00"/>
    <n v="350.22"/>
    <m/>
    <n v="1474.62"/>
  </r>
  <r>
    <s v="CUST014"/>
    <s v="Emma Davis"/>
    <x v="0"/>
    <x v="4"/>
    <n v="1572.82"/>
    <n v="6"/>
    <n v="0.05"/>
    <d v="2024-04-20T00:00:00"/>
    <n v="672.38"/>
    <m/>
    <n v="9436.92"/>
  </r>
  <r>
    <s v="CUST014"/>
    <s v="David Thomas"/>
    <x v="4"/>
    <x v="0"/>
    <n v="1343.13"/>
    <n v="14"/>
    <n v="0.15"/>
    <d v="2024-04-22T00:00:00"/>
    <n v="456.66"/>
    <m/>
    <n v="18803.82"/>
  </r>
  <r>
    <s v="CUST007"/>
    <s v="Michael Anderson"/>
    <x v="4"/>
    <x v="0"/>
    <n v="1191.58"/>
    <n v="14"/>
    <n v="0.05"/>
    <d v="2024-04-24T00:00:00"/>
    <n v="452.8"/>
    <m/>
    <n v="16682.12"/>
  </r>
  <r>
    <s v="CUST023"/>
    <s v="Robert Anderson"/>
    <x v="0"/>
    <x v="3"/>
    <n v="822.28"/>
    <n v="7"/>
    <n v="0.05"/>
    <d v="2024-04-24T00:00:00"/>
    <n v="273.41000000000003"/>
    <m/>
    <n v="5755.96"/>
  </r>
  <r>
    <s v="CUST029"/>
    <s v="David Smith"/>
    <x v="3"/>
    <x v="3"/>
    <n v="521.66999999999996"/>
    <n v="15"/>
    <n v="0.15"/>
    <d v="2024-04-27T00:00:00"/>
    <n v="155.19999999999999"/>
    <m/>
    <n v="7825.0499999999993"/>
  </r>
  <r>
    <s v="CUST005"/>
    <s v="Sarah Anderson"/>
    <x v="2"/>
    <x v="2"/>
    <n v="1502.93"/>
    <n v="14"/>
    <n v="0.2"/>
    <d v="2024-04-28T00:00:00"/>
    <n v="300.58999999999997"/>
    <m/>
    <n v="21041.02"/>
  </r>
  <r>
    <s v="CUST008"/>
    <s v="Robert Anderson"/>
    <x v="2"/>
    <x v="0"/>
    <n v="877.58"/>
    <n v="10"/>
    <n v="0.15"/>
    <d v="2024-04-29T00:00:00"/>
    <n v="298.38"/>
    <m/>
    <n v="8775.8000000000011"/>
  </r>
  <r>
    <s v="CUST001"/>
    <s v="Lisa Thomas"/>
    <x v="0"/>
    <x v="0"/>
    <n v="636.70000000000005"/>
    <n v="4"/>
    <n v="0.2"/>
    <d v="2024-04-29T00:00:00"/>
    <n v="203.74"/>
    <m/>
    <n v="2546.8000000000002"/>
  </r>
  <r>
    <s v="CUST006"/>
    <s v="Mary Jackson"/>
    <x v="0"/>
    <x v="0"/>
    <n v="1506.14"/>
    <n v="13"/>
    <n v="0.2"/>
    <d v="2024-04-30T00:00:00"/>
    <n v="481.96"/>
    <m/>
    <n v="19579.82"/>
  </r>
  <r>
    <s v="CUST026"/>
    <s v="Mary Davis"/>
    <x v="4"/>
    <x v="2"/>
    <n v="645.02"/>
    <n v="4"/>
    <n v="0"/>
    <d v="2024-05-02T00:00:00"/>
    <n v="161.26"/>
    <m/>
    <n v="2580.08"/>
  </r>
  <r>
    <s v="CUST007"/>
    <s v="Lisa Davis"/>
    <x v="2"/>
    <x v="1"/>
    <n v="953.3"/>
    <n v="11"/>
    <n v="0"/>
    <d v="2024-05-03T00:00:00"/>
    <n v="476.65"/>
    <m/>
    <n v="10486.3"/>
  </r>
  <r>
    <s v="CUST022"/>
    <s v="Robert Anderson"/>
    <x v="3"/>
    <x v="2"/>
    <n v="388.56"/>
    <n v="14"/>
    <n v="0.15"/>
    <d v="2024-05-04T00:00:00"/>
    <n v="82.57"/>
    <m/>
    <n v="5439.84"/>
  </r>
  <r>
    <s v="CUST019"/>
    <s v="Mary Davis"/>
    <x v="0"/>
    <x v="0"/>
    <n v="743.17"/>
    <n v="9"/>
    <n v="0"/>
    <d v="2024-05-04T00:00:00"/>
    <n v="297.27"/>
    <m/>
    <n v="6688.53"/>
  </r>
  <r>
    <s v="CUST023"/>
    <s v="Mary Davis"/>
    <x v="4"/>
    <x v="2"/>
    <n v="706.37"/>
    <n v="6"/>
    <n v="0"/>
    <d v="2024-05-04T00:00:00"/>
    <n v="176.59"/>
    <m/>
    <n v="4238.22"/>
  </r>
  <r>
    <s v="CUST012"/>
    <s v="Mary Davis"/>
    <x v="4"/>
    <x v="4"/>
    <n v="925.31"/>
    <n v="8"/>
    <n v="0.1"/>
    <d v="2024-05-06T00:00:00"/>
    <n v="374.75"/>
    <m/>
    <n v="7402.48"/>
  </r>
  <r>
    <s v="CUST010"/>
    <s v="Linda Brown"/>
    <x v="2"/>
    <x v="2"/>
    <n v="1173.1199999999999"/>
    <n v="18"/>
    <n v="0"/>
    <d v="2024-05-06T00:00:00"/>
    <n v="293.27999999999997"/>
    <m/>
    <n v="21116.159999999996"/>
  </r>
  <r>
    <s v="CUST030"/>
    <s v="John Brown"/>
    <x v="3"/>
    <x v="3"/>
    <n v="675.54"/>
    <n v="17"/>
    <n v="0"/>
    <d v="2024-05-08T00:00:00"/>
    <n v="236.44"/>
    <m/>
    <n v="11484.18"/>
  </r>
  <r>
    <s v="CUST007"/>
    <s v="Robert Anderson"/>
    <x v="4"/>
    <x v="0"/>
    <n v="939.09"/>
    <n v="2"/>
    <n v="0.05"/>
    <d v="2024-05-10T00:00:00"/>
    <n v="356.85"/>
    <m/>
    <n v="1878.18"/>
  </r>
  <r>
    <s v="CUST028"/>
    <s v="Linda Taylor"/>
    <x v="1"/>
    <x v="4"/>
    <n v="983.34"/>
    <n v="19"/>
    <n v="0.1"/>
    <d v="2024-05-14T00:00:00"/>
    <n v="398.25"/>
    <m/>
    <n v="18683.46"/>
  </r>
  <r>
    <s v="CUST028"/>
    <s v="James Wilson"/>
    <x v="2"/>
    <x v="2"/>
    <n v="801.21"/>
    <n v="3"/>
    <n v="0.2"/>
    <d v="2024-05-14T00:00:00"/>
    <n v="160.24"/>
    <m/>
    <n v="2403.63"/>
  </r>
  <r>
    <s v="CUST025"/>
    <s v="David Brown"/>
    <x v="3"/>
    <x v="2"/>
    <n v="1450.71"/>
    <n v="5"/>
    <n v="0.1"/>
    <d v="2024-05-15T00:00:00"/>
    <n v="326.41000000000003"/>
    <m/>
    <n v="7253.55"/>
  </r>
  <r>
    <s v="CUST022"/>
    <s v="David Davis"/>
    <x v="4"/>
    <x v="0"/>
    <n v="1023.21"/>
    <n v="18"/>
    <n v="0.05"/>
    <d v="2024-05-16T00:00:00"/>
    <n v="388.82"/>
    <m/>
    <n v="18417.78"/>
  </r>
  <r>
    <s v="CUST001"/>
    <s v="Mary Jackson"/>
    <x v="0"/>
    <x v="3"/>
    <n v="853.72"/>
    <n v="5"/>
    <n v="0.15"/>
    <d v="2024-05-16T00:00:00"/>
    <n v="253.98"/>
    <m/>
    <n v="4268.6000000000004"/>
  </r>
  <r>
    <s v="CUST021"/>
    <s v="Sarah Anderson"/>
    <x v="2"/>
    <x v="2"/>
    <n v="967.89"/>
    <n v="10"/>
    <n v="0.1"/>
    <d v="2024-05-17T00:00:00"/>
    <n v="217.78"/>
    <m/>
    <n v="9678.9"/>
  </r>
  <r>
    <s v="CUST015"/>
    <s v="Linda Taylor"/>
    <x v="3"/>
    <x v="4"/>
    <n v="1200.9000000000001"/>
    <n v="14"/>
    <n v="0.05"/>
    <d v="2024-05-17T00:00:00"/>
    <n v="513.38"/>
    <m/>
    <n v="16812.600000000002"/>
  </r>
  <r>
    <s v="CUST012"/>
    <s v="Michael Anderson"/>
    <x v="0"/>
    <x v="0"/>
    <n v="472.38"/>
    <n v="12"/>
    <n v="0.2"/>
    <d v="2024-05-17T00:00:00"/>
    <n v="151.16"/>
    <m/>
    <n v="5668.5599999999995"/>
  </r>
  <r>
    <s v="CUST019"/>
    <s v="David Brown"/>
    <x v="1"/>
    <x v="4"/>
    <n v="840.92"/>
    <n v="9"/>
    <n v="0.05"/>
    <d v="2024-05-17T00:00:00"/>
    <n v="359.49"/>
    <m/>
    <n v="7568.28"/>
  </r>
  <r>
    <s v="CUST028"/>
    <s v="Lisa Davis"/>
    <x v="4"/>
    <x v="3"/>
    <n v="1410.06"/>
    <n v="11"/>
    <n v="0.05"/>
    <d v="2024-05-22T00:00:00"/>
    <n v="468.84"/>
    <m/>
    <n v="15510.66"/>
  </r>
  <r>
    <s v="CUST008"/>
    <s v="Mary Wilson"/>
    <x v="4"/>
    <x v="3"/>
    <n v="773.09"/>
    <n v="13"/>
    <n v="0.15"/>
    <d v="2024-05-22T00:00:00"/>
    <n v="229.99"/>
    <m/>
    <n v="10050.17"/>
  </r>
  <r>
    <s v="CUST016"/>
    <s v="Emma Wilson"/>
    <x v="1"/>
    <x v="0"/>
    <n v="580.42999999999995"/>
    <n v="19"/>
    <n v="0.15"/>
    <d v="2024-05-23T00:00:00"/>
    <n v="197.35"/>
    <m/>
    <n v="11028.169999999998"/>
  </r>
  <r>
    <s v="CUST005"/>
    <s v="David Smith"/>
    <x v="2"/>
    <x v="0"/>
    <n v="1151.21"/>
    <n v="15"/>
    <n v="0.1"/>
    <d v="2024-06-02T00:00:00"/>
    <n v="414.44"/>
    <m/>
    <n v="17268.150000000001"/>
  </r>
  <r>
    <s v="CUST028"/>
    <s v="James Wilson"/>
    <x v="4"/>
    <x v="4"/>
    <n v="1025.98"/>
    <n v="5"/>
    <n v="0.2"/>
    <d v="2024-06-04T00:00:00"/>
    <n v="369.35"/>
    <m/>
    <n v="5129.8999999999996"/>
  </r>
  <r>
    <s v="CUST023"/>
    <s v="David Davis"/>
    <x v="1"/>
    <x v="4"/>
    <n v="556.41999999999996"/>
    <n v="11"/>
    <n v="0.15"/>
    <d v="2024-06-04T00:00:00"/>
    <n v="212.83"/>
    <m/>
    <n v="6120.62"/>
  </r>
  <r>
    <s v="CUST021"/>
    <s v="James Wilson"/>
    <x v="4"/>
    <x v="0"/>
    <n v="840.85"/>
    <n v="19"/>
    <n v="0.1"/>
    <d v="2024-06-05T00:00:00"/>
    <n v="302.70999999999998"/>
    <m/>
    <n v="15976.15"/>
  </r>
  <r>
    <s v="CUST026"/>
    <s v="Emma Wilson"/>
    <x v="3"/>
    <x v="3"/>
    <n v="1227.25"/>
    <n v="12"/>
    <n v="0.15"/>
    <d v="2024-06-05T00:00:00"/>
    <n v="365.11"/>
    <m/>
    <n v="14727"/>
  </r>
  <r>
    <s v="CUST017"/>
    <s v="Linda Davis"/>
    <x v="4"/>
    <x v="2"/>
    <n v="856.7"/>
    <n v="2"/>
    <n v="0"/>
    <d v="2024-06-06T00:00:00"/>
    <n v="214.18"/>
    <m/>
    <n v="1713.4"/>
  </r>
  <r>
    <s v="CUST025"/>
    <s v="David Davis"/>
    <x v="4"/>
    <x v="4"/>
    <n v="1225.42"/>
    <n v="8"/>
    <n v="0.15"/>
    <d v="2024-06-06T00:00:00"/>
    <n v="468.72"/>
    <m/>
    <n v="9803.36"/>
  </r>
  <r>
    <s v="CUST011"/>
    <s v="Mary Davis"/>
    <x v="3"/>
    <x v="4"/>
    <n v="1001.57"/>
    <n v="12"/>
    <n v="0"/>
    <d v="2024-06-07T00:00:00"/>
    <n v="450.71"/>
    <m/>
    <n v="12018.84"/>
  </r>
  <r>
    <s v="CUST021"/>
    <s v="Michael Anderson"/>
    <x v="1"/>
    <x v="3"/>
    <n v="1186.8499999999999"/>
    <n v="19"/>
    <n v="0.2"/>
    <d v="2024-06-08T00:00:00"/>
    <n v="332.32"/>
    <m/>
    <n v="22550.149999999998"/>
  </r>
  <r>
    <s v="CUST008"/>
    <s v="John Brown"/>
    <x v="2"/>
    <x v="2"/>
    <n v="775.45"/>
    <n v="6"/>
    <n v="0.1"/>
    <d v="2024-06-14T00:00:00"/>
    <n v="174.48"/>
    <m/>
    <n v="4652.7000000000007"/>
  </r>
  <r>
    <s v="CUST007"/>
    <s v="Linda Jackson"/>
    <x v="2"/>
    <x v="2"/>
    <n v="1021.47"/>
    <n v="6"/>
    <n v="0.05"/>
    <d v="2024-06-18T00:00:00"/>
    <n v="242.6"/>
    <m/>
    <n v="6128.82"/>
  </r>
  <r>
    <s v="CUST015"/>
    <s v="James Wilson"/>
    <x v="2"/>
    <x v="1"/>
    <n v="1226.6199999999999"/>
    <n v="7"/>
    <n v="0.1"/>
    <d v="2024-06-20T00:00:00"/>
    <n v="551.98"/>
    <m/>
    <n v="8586.34"/>
  </r>
  <r>
    <s v="CUST030"/>
    <s v="Sarah Davis"/>
    <x v="2"/>
    <x v="3"/>
    <n v="1086.93"/>
    <n v="2"/>
    <n v="0"/>
    <d v="2024-06-21T00:00:00"/>
    <n v="380.43"/>
    <m/>
    <n v="2173.86"/>
  </r>
  <r>
    <s v="CUST002"/>
    <s v="Lisa Davis"/>
    <x v="0"/>
    <x v="0"/>
    <n v="942.9"/>
    <n v="18"/>
    <n v="0.1"/>
    <d v="2024-06-23T00:00:00"/>
    <n v="339.44"/>
    <m/>
    <n v="16972.2"/>
  </r>
  <r>
    <s v="CUST009"/>
    <s v="Emma Davis"/>
    <x v="3"/>
    <x v="2"/>
    <n v="818.8"/>
    <n v="15"/>
    <n v="0.15"/>
    <d v="2024-06-25T00:00:00"/>
    <n v="173.99"/>
    <m/>
    <n v="12282"/>
  </r>
  <r>
    <s v="CUST005"/>
    <s v="Robert Anderson"/>
    <x v="2"/>
    <x v="3"/>
    <n v="919.04"/>
    <n v="10"/>
    <n v="0.2"/>
    <d v="2024-06-25T00:00:00"/>
    <n v="257.33"/>
    <m/>
    <n v="9190.4"/>
  </r>
  <r>
    <s v="CUST030"/>
    <s v="Emma Taylor"/>
    <x v="4"/>
    <x v="0"/>
    <n v="973.26"/>
    <n v="11"/>
    <n v="0"/>
    <d v="2024-06-27T00:00:00"/>
    <n v="389.3"/>
    <m/>
    <n v="10705.86"/>
  </r>
  <r>
    <s v="CUST029"/>
    <s v="Sarah Davis"/>
    <x v="3"/>
    <x v="2"/>
    <n v="741.61"/>
    <n v="1"/>
    <n v="0.2"/>
    <d v="2024-06-28T00:00:00"/>
    <n v="148.32"/>
    <m/>
    <n v="741.61"/>
  </r>
  <r>
    <s v="CUST003"/>
    <s v="Emma Davis"/>
    <x v="3"/>
    <x v="0"/>
    <n v="1248.82"/>
    <n v="2"/>
    <n v="0.1"/>
    <d v="2024-06-30T00:00:00"/>
    <n v="449.58"/>
    <m/>
    <n v="2497.64"/>
  </r>
  <r>
    <s v="CUST012"/>
    <s v="Mary Wilson"/>
    <x v="0"/>
    <x v="1"/>
    <n v="1360.36"/>
    <n v="17"/>
    <n v="0"/>
    <d v="2024-06-30T00:00:00"/>
    <n v="680.18"/>
    <m/>
    <n v="23126.12"/>
  </r>
  <r>
    <s v="CUST021"/>
    <s v="Mary Davis"/>
    <x v="1"/>
    <x v="0"/>
    <n v="1383.3"/>
    <n v="8"/>
    <n v="0.1"/>
    <d v="2024-07-05T00:00:00"/>
    <n v="497.99"/>
    <m/>
    <n v="11066.4"/>
  </r>
  <r>
    <s v="CUST010"/>
    <s v="David Brown"/>
    <x v="4"/>
    <x v="4"/>
    <n v="488.99"/>
    <n v="9"/>
    <n v="0"/>
    <d v="2024-07-06T00:00:00"/>
    <n v="220.05"/>
    <m/>
    <n v="4400.91"/>
  </r>
  <r>
    <s v="CUST026"/>
    <s v="Mary Davis"/>
    <x v="1"/>
    <x v="3"/>
    <n v="933.71"/>
    <n v="17"/>
    <n v="0.1"/>
    <d v="2024-07-08T00:00:00"/>
    <n v="294.12"/>
    <m/>
    <n v="15873.07"/>
  </r>
  <r>
    <s v="CUST003"/>
    <s v="James Davis"/>
    <x v="0"/>
    <x v="2"/>
    <n v="1005.53"/>
    <n v="17"/>
    <n v="0.2"/>
    <d v="2024-07-08T00:00:00"/>
    <n v="201.11"/>
    <m/>
    <n v="17094.009999999998"/>
  </r>
  <r>
    <s v="CUST029"/>
    <s v="Emma Wilson"/>
    <x v="2"/>
    <x v="2"/>
    <n v="1100.0999999999999"/>
    <n v="5"/>
    <n v="0.05"/>
    <d v="2024-07-09T00:00:00"/>
    <n v="261.27"/>
    <m/>
    <n v="5500.5"/>
  </r>
  <r>
    <s v="CUST003"/>
    <s v="James Wilson"/>
    <x v="3"/>
    <x v="3"/>
    <n v="1034.7"/>
    <n v="15"/>
    <n v="0.15"/>
    <d v="2024-07-14T00:00:00"/>
    <n v="307.82"/>
    <m/>
    <n v="15520.5"/>
  </r>
  <r>
    <s v="CUST002"/>
    <s v="Mary Davis"/>
    <x v="2"/>
    <x v="0"/>
    <n v="876.44"/>
    <n v="12"/>
    <n v="0.05"/>
    <d v="2024-07-15T00:00:00"/>
    <n v="333.05"/>
    <m/>
    <n v="10517.28"/>
  </r>
  <r>
    <s v="CUST020"/>
    <s v="David Brown"/>
    <x v="0"/>
    <x v="3"/>
    <n v="1371.34"/>
    <n v="5"/>
    <n v="0.05"/>
    <d v="2024-07-15T00:00:00"/>
    <n v="455.97"/>
    <m/>
    <n v="6856.7"/>
  </r>
  <r>
    <s v="CUST021"/>
    <s v="Mary Jackson"/>
    <x v="3"/>
    <x v="2"/>
    <n v="1020.26"/>
    <n v="11"/>
    <n v="0.05"/>
    <d v="2024-07-21T00:00:00"/>
    <n v="242.31"/>
    <m/>
    <n v="11222.86"/>
  </r>
  <r>
    <s v="CUST008"/>
    <s v="James Davis"/>
    <x v="4"/>
    <x v="4"/>
    <n v="804.81"/>
    <n v="1"/>
    <n v="0.05"/>
    <d v="2024-07-29T00:00:00"/>
    <n v="344.06"/>
    <m/>
    <n v="804.81"/>
  </r>
  <r>
    <s v="CUST030"/>
    <s v="David Brown"/>
    <x v="4"/>
    <x v="2"/>
    <n v="608.66"/>
    <n v="1"/>
    <n v="0.05"/>
    <d v="2024-07-30T00:00:00"/>
    <n v="144.56"/>
    <m/>
    <n v="608.66"/>
  </r>
  <r>
    <s v="CUST020"/>
    <s v="Linda Moore"/>
    <x v="2"/>
    <x v="4"/>
    <n v="981.2"/>
    <n v="19"/>
    <n v="0"/>
    <d v="2024-07-31T00:00:00"/>
    <n v="441.54"/>
    <m/>
    <n v="18642.8"/>
  </r>
  <r>
    <s v="CUST024"/>
    <s v="David Brown"/>
    <x v="1"/>
    <x v="2"/>
    <n v="539.77"/>
    <n v="10"/>
    <n v="0.15"/>
    <d v="2024-08-05T00:00:00"/>
    <n v="114.7"/>
    <m/>
    <n v="5397.7"/>
  </r>
  <r>
    <s v="CUST012"/>
    <s v="David Anderson"/>
    <x v="2"/>
    <x v="0"/>
    <n v="804.45"/>
    <n v="5"/>
    <n v="0.2"/>
    <d v="2024-08-05T00:00:00"/>
    <n v="257.42"/>
    <m/>
    <n v="4022.25"/>
  </r>
  <r>
    <s v="CUST024"/>
    <s v="Emma Davis"/>
    <x v="0"/>
    <x v="2"/>
    <n v="1526.6"/>
    <n v="13"/>
    <n v="0.2"/>
    <d v="2024-08-08T00:00:00"/>
    <n v="305.32"/>
    <m/>
    <n v="19845.8"/>
  </r>
  <r>
    <s v="CUST012"/>
    <s v="Linda Wilson"/>
    <x v="0"/>
    <x v="2"/>
    <n v="1215.26"/>
    <n v="5"/>
    <n v="0.15"/>
    <d v="2024-08-09T00:00:00"/>
    <n v="258.24"/>
    <m/>
    <n v="6076.3"/>
  </r>
  <r>
    <s v="CUST005"/>
    <s v="Linda Taylor"/>
    <x v="4"/>
    <x v="3"/>
    <n v="1261.3399999999999"/>
    <n v="3"/>
    <n v="0"/>
    <d v="2024-08-15T00:00:00"/>
    <n v="441.47"/>
    <m/>
    <n v="3784.0199999999995"/>
  </r>
  <r>
    <s v="CUST004"/>
    <s v="Lisa Thomas"/>
    <x v="3"/>
    <x v="3"/>
    <n v="518.07000000000005"/>
    <n v="7"/>
    <n v="0.05"/>
    <d v="2024-08-18T00:00:00"/>
    <n v="172.26"/>
    <m/>
    <n v="3626.4900000000002"/>
  </r>
  <r>
    <s v="CUST026"/>
    <s v="Linda Wilson"/>
    <x v="0"/>
    <x v="4"/>
    <n v="1111.3399999999999"/>
    <n v="1"/>
    <n v="0"/>
    <d v="2024-08-19T00:00:00"/>
    <n v="500.1"/>
    <m/>
    <n v="1111.3399999999999"/>
  </r>
  <r>
    <s v="CUST030"/>
    <s v="Mary Davis"/>
    <x v="1"/>
    <x v="1"/>
    <n v="1291.47"/>
    <n v="18"/>
    <n v="0.1"/>
    <d v="2024-08-22T00:00:00"/>
    <n v="581.16"/>
    <m/>
    <n v="23246.46"/>
  </r>
  <r>
    <s v="CUST007"/>
    <s v="David Brown"/>
    <x v="3"/>
    <x v="0"/>
    <n v="679.71"/>
    <n v="19"/>
    <n v="0"/>
    <d v="2024-08-30T00:00:00"/>
    <n v="271.88"/>
    <m/>
    <n v="12914.490000000002"/>
  </r>
  <r>
    <s v="CUST020"/>
    <s v="Linda Jackson"/>
    <x v="1"/>
    <x v="3"/>
    <n v="1143.69"/>
    <n v="17"/>
    <n v="0"/>
    <d v="2024-08-30T00:00:00"/>
    <n v="400.29"/>
    <m/>
    <n v="19442.73"/>
  </r>
  <r>
    <s v="CUST028"/>
    <s v="Linda Brown"/>
    <x v="4"/>
    <x v="2"/>
    <n v="790.08"/>
    <n v="7"/>
    <n v="0.1"/>
    <d v="2024-09-01T00:00:00"/>
    <n v="177.77"/>
    <m/>
    <n v="5530.56"/>
  </r>
  <r>
    <s v="CUST005"/>
    <s v="Lisa Davis"/>
    <x v="4"/>
    <x v="0"/>
    <n v="1070.68"/>
    <n v="7"/>
    <n v="0.05"/>
    <d v="2024-09-01T00:00:00"/>
    <n v="406.86"/>
    <m/>
    <n v="7494.76"/>
  </r>
  <r>
    <s v="CUST015"/>
    <s v="David Thomas"/>
    <x v="0"/>
    <x v="1"/>
    <n v="1168.8900000000001"/>
    <n v="4"/>
    <n v="0.1"/>
    <d v="2024-09-09T00:00:00"/>
    <n v="526"/>
    <m/>
    <n v="4675.5600000000004"/>
  </r>
  <r>
    <s v="CUST003"/>
    <s v="James Davis"/>
    <x v="2"/>
    <x v="2"/>
    <n v="1335.87"/>
    <n v="17"/>
    <n v="0"/>
    <d v="2024-09-09T00:00:00"/>
    <n v="333.97"/>
    <m/>
    <n v="22709.789999999997"/>
  </r>
  <r>
    <s v="CUST023"/>
    <s v="David Brown"/>
    <x v="1"/>
    <x v="3"/>
    <n v="873.7"/>
    <n v="9"/>
    <n v="0"/>
    <d v="2024-09-11T00:00:00"/>
    <n v="305.8"/>
    <m/>
    <n v="7863.3"/>
  </r>
  <r>
    <s v="CUST004"/>
    <s v="Sarah Davis"/>
    <x v="0"/>
    <x v="4"/>
    <n v="1443.98"/>
    <n v="19"/>
    <n v="0"/>
    <d v="2024-09-12T00:00:00"/>
    <n v="649.79"/>
    <m/>
    <n v="27435.62"/>
  </r>
  <r>
    <s v="CUST023"/>
    <s v="James Wilson"/>
    <x v="1"/>
    <x v="4"/>
    <n v="1154.33"/>
    <n v="11"/>
    <n v="0.15"/>
    <d v="2024-09-14T00:00:00"/>
    <n v="441.53"/>
    <m/>
    <n v="12697.63"/>
  </r>
  <r>
    <s v="CUST022"/>
    <s v="Linda Brown"/>
    <x v="2"/>
    <x v="0"/>
    <n v="1264.49"/>
    <n v="16"/>
    <n v="0.05"/>
    <d v="2024-09-14T00:00:00"/>
    <n v="480.51"/>
    <m/>
    <n v="20231.84"/>
  </r>
  <r>
    <s v="CUST007"/>
    <s v="Emma Taylor"/>
    <x v="0"/>
    <x v="3"/>
    <n v="1101.55"/>
    <n v="4"/>
    <n v="0.1"/>
    <d v="2024-09-16T00:00:00"/>
    <n v="346.99"/>
    <m/>
    <n v="4406.2"/>
  </r>
  <r>
    <s v="CUST013"/>
    <s v="Robert Anderson"/>
    <x v="2"/>
    <x v="3"/>
    <n v="727.73"/>
    <n v="1"/>
    <n v="0.1"/>
    <d v="2024-09-17T00:00:00"/>
    <n v="229.23"/>
    <m/>
    <n v="727.73"/>
  </r>
  <r>
    <s v="CUST027"/>
    <s v="Emma Davis"/>
    <x v="1"/>
    <x v="4"/>
    <n v="875.41"/>
    <n v="13"/>
    <n v="0.15"/>
    <d v="2024-09-17T00:00:00"/>
    <n v="334.84"/>
    <m/>
    <n v="11380.33"/>
  </r>
  <r>
    <s v="CUST003"/>
    <s v="James Wilson"/>
    <x v="0"/>
    <x v="2"/>
    <n v="1158.94"/>
    <n v="19"/>
    <n v="0.2"/>
    <d v="2024-09-18T00:00:00"/>
    <n v="231.79"/>
    <m/>
    <n v="22019.86"/>
  </r>
  <r>
    <s v="CUST018"/>
    <s v="Mary Jackson"/>
    <x v="2"/>
    <x v="0"/>
    <n v="966.3"/>
    <n v="2"/>
    <n v="0.15"/>
    <d v="2024-09-22T00:00:00"/>
    <n v="328.54"/>
    <m/>
    <n v="1932.6"/>
  </r>
  <r>
    <s v="CUST020"/>
    <s v="James Taylor"/>
    <x v="2"/>
    <x v="0"/>
    <n v="917.48"/>
    <n v="6"/>
    <n v="0"/>
    <d v="2024-09-23T00:00:00"/>
    <n v="366.99"/>
    <m/>
    <n v="5504.88"/>
  </r>
  <r>
    <s v="CUST029"/>
    <s v="Emma Wilson"/>
    <x v="0"/>
    <x v="3"/>
    <n v="1172.97"/>
    <n v="7"/>
    <n v="0.15"/>
    <d v="2024-09-24T00:00:00"/>
    <n v="348.96"/>
    <m/>
    <n v="8210.7900000000009"/>
  </r>
  <r>
    <s v="CUST021"/>
    <s v="James Wilson"/>
    <x v="3"/>
    <x v="1"/>
    <n v="1205.82"/>
    <n v="11"/>
    <n v="0.1"/>
    <d v="2024-09-24T00:00:00"/>
    <n v="542.62"/>
    <m/>
    <n v="13264.019999999999"/>
  </r>
  <r>
    <s v="CUST017"/>
    <s v="Sarah Davis"/>
    <x v="0"/>
    <x v="4"/>
    <n v="826.93"/>
    <n v="10"/>
    <n v="0.2"/>
    <d v="2024-09-29T00:00:00"/>
    <n v="297.69"/>
    <m/>
    <n v="8269.2999999999993"/>
  </r>
  <r>
    <s v="CUST003"/>
    <s v="James Wilson"/>
    <x v="4"/>
    <x v="1"/>
    <n v="902.19"/>
    <n v="12"/>
    <n v="0"/>
    <d v="2024-09-29T00:00:00"/>
    <n v="451.1"/>
    <m/>
    <n v="10826.28"/>
  </r>
  <r>
    <s v="CUST027"/>
    <s v="Emma Davis"/>
    <x v="3"/>
    <x v="0"/>
    <n v="585.97"/>
    <n v="17"/>
    <n v="0.1"/>
    <d v="2024-09-30T00:00:00"/>
    <n v="210.95"/>
    <m/>
    <n v="9961.49"/>
  </r>
  <r>
    <s v="CUST016"/>
    <s v="Michael Anderson"/>
    <x v="3"/>
    <x v="1"/>
    <n v="990.19"/>
    <n v="8"/>
    <n v="0.1"/>
    <d v="2024-09-30T00:00:00"/>
    <n v="445.59"/>
    <m/>
    <n v="7921.52"/>
  </r>
  <r>
    <s v="CUST008"/>
    <s v="David Davis"/>
    <x v="4"/>
    <x v="2"/>
    <n v="1014.09"/>
    <n v="13"/>
    <n v="0.2"/>
    <d v="2024-10-02T00:00:00"/>
    <n v="202.82"/>
    <m/>
    <n v="13183.17"/>
  </r>
  <r>
    <s v="CUST012"/>
    <s v="Lisa Davis"/>
    <x v="3"/>
    <x v="2"/>
    <n v="925.29"/>
    <n v="17"/>
    <n v="0"/>
    <d v="2024-10-05T00:00:00"/>
    <n v="231.32"/>
    <m/>
    <n v="15729.93"/>
  </r>
  <r>
    <s v="CUST025"/>
    <s v="Mary Jackson"/>
    <x v="1"/>
    <x v="3"/>
    <n v="1286.54"/>
    <n v="8"/>
    <n v="0"/>
    <d v="2024-10-10T00:00:00"/>
    <n v="450.29"/>
    <m/>
    <n v="10292.32"/>
  </r>
  <r>
    <s v="CUST014"/>
    <s v="Sarah Davis"/>
    <x v="2"/>
    <x v="0"/>
    <n v="961.62"/>
    <n v="8"/>
    <n v="0.2"/>
    <d v="2024-10-12T00:00:00"/>
    <n v="307.72000000000003"/>
    <m/>
    <n v="7692.96"/>
  </r>
  <r>
    <s v="CUST008"/>
    <s v="James Wilson"/>
    <x v="1"/>
    <x v="0"/>
    <n v="1081.1400000000001"/>
    <n v="19"/>
    <n v="0.15"/>
    <d v="2024-10-12T00:00:00"/>
    <n v="367.59"/>
    <m/>
    <n v="20541.660000000003"/>
  </r>
  <r>
    <s v="CUST015"/>
    <s v="James Wilson"/>
    <x v="0"/>
    <x v="1"/>
    <n v="1923.66"/>
    <n v="9"/>
    <n v="0.2"/>
    <d v="2024-10-15T00:00:00"/>
    <n v="769.46"/>
    <m/>
    <n v="17312.940000000002"/>
  </r>
  <r>
    <s v="CUST025"/>
    <s v="Emma Taylor"/>
    <x v="4"/>
    <x v="1"/>
    <n v="728.71"/>
    <n v="14"/>
    <n v="0.1"/>
    <d v="2024-10-16T00:00:00"/>
    <n v="327.92"/>
    <m/>
    <n v="10201.94"/>
  </r>
  <r>
    <s v="CUST019"/>
    <s v="Linda Jackson"/>
    <x v="4"/>
    <x v="1"/>
    <n v="1301.8900000000001"/>
    <n v="7"/>
    <n v="0.15"/>
    <d v="2024-10-16T00:00:00"/>
    <n v="553.29999999999995"/>
    <m/>
    <n v="9113.2300000000014"/>
  </r>
  <r>
    <s v="CUST024"/>
    <s v="Emma Taylor"/>
    <x v="1"/>
    <x v="0"/>
    <n v="980.18"/>
    <n v="16"/>
    <n v="0.1"/>
    <d v="2024-10-17T00:00:00"/>
    <n v="352.86"/>
    <m/>
    <n v="15682.88"/>
  </r>
  <r>
    <s v="CUST027"/>
    <s v="James Wilson"/>
    <x v="0"/>
    <x v="1"/>
    <n v="697.57"/>
    <n v="17"/>
    <n v="0.1"/>
    <d v="2024-10-19T00:00:00"/>
    <n v="313.91000000000003"/>
    <m/>
    <n v="11858.69"/>
  </r>
  <r>
    <s v="CUST006"/>
    <s v="David Anderson"/>
    <x v="0"/>
    <x v="3"/>
    <n v="1193.6099999999999"/>
    <n v="1"/>
    <n v="0.15"/>
    <d v="2024-10-19T00:00:00"/>
    <n v="355.1"/>
    <m/>
    <n v="1193.6099999999999"/>
  </r>
  <r>
    <s v="CUST009"/>
    <s v="Emma Davis"/>
    <x v="2"/>
    <x v="2"/>
    <n v="771.02"/>
    <n v="1"/>
    <n v="0"/>
    <d v="2024-10-20T00:00:00"/>
    <n v="192.76"/>
    <m/>
    <n v="771.02"/>
  </r>
  <r>
    <s v="CUST003"/>
    <s v="Linda Moore"/>
    <x v="3"/>
    <x v="1"/>
    <n v="661.09"/>
    <n v="1"/>
    <n v="0.2"/>
    <d v="2024-10-28T00:00:00"/>
    <n v="264.44"/>
    <m/>
    <n v="661.09"/>
  </r>
  <r>
    <s v="CUST012"/>
    <s v="David Brown"/>
    <x v="0"/>
    <x v="2"/>
    <n v="688.83"/>
    <n v="15"/>
    <n v="0"/>
    <d v="2024-10-30T00:00:00"/>
    <n v="172.21"/>
    <m/>
    <n v="10332.450000000001"/>
  </r>
  <r>
    <s v="CUST013"/>
    <s v="Linda Wilson"/>
    <x v="4"/>
    <x v="0"/>
    <n v="1249.0999999999999"/>
    <n v="4"/>
    <n v="0.05"/>
    <d v="2024-11-01T00:00:00"/>
    <n v="474.66"/>
    <m/>
    <n v="4996.3999999999996"/>
  </r>
  <r>
    <s v="CUST008"/>
    <s v="James Wilson"/>
    <x v="1"/>
    <x v="4"/>
    <n v="1014.22"/>
    <n v="14"/>
    <n v="0.05"/>
    <d v="2024-11-03T00:00:00"/>
    <n v="433.58"/>
    <m/>
    <n v="14199.08"/>
  </r>
  <r>
    <s v="CUST025"/>
    <s v="Lisa Davis"/>
    <x v="1"/>
    <x v="0"/>
    <n v="1010.58"/>
    <n v="2"/>
    <n v="0.15"/>
    <d v="2024-11-09T00:00:00"/>
    <n v="343.6"/>
    <m/>
    <n v="2021.16"/>
  </r>
  <r>
    <s v="CUST026"/>
    <s v="Mary Wilson"/>
    <x v="3"/>
    <x v="3"/>
    <n v="957.29"/>
    <n v="4"/>
    <n v="0.05"/>
    <d v="2024-11-09T00:00:00"/>
    <n v="318.3"/>
    <m/>
    <n v="3829.16"/>
  </r>
  <r>
    <s v="CUST001"/>
    <s v="Lisa Thomas"/>
    <x v="3"/>
    <x v="3"/>
    <n v="1077.92"/>
    <n v="3"/>
    <n v="0.05"/>
    <d v="2024-11-12T00:00:00"/>
    <n v="358.41"/>
    <m/>
    <n v="3233.76"/>
  </r>
  <r>
    <s v="CUST028"/>
    <s v="Linda Brown"/>
    <x v="2"/>
    <x v="1"/>
    <n v="1163.01"/>
    <n v="5"/>
    <n v="0"/>
    <d v="2024-11-15T00:00:00"/>
    <n v="581.5"/>
    <m/>
    <n v="5815.05"/>
  </r>
  <r>
    <s v="CUST025"/>
    <s v="Lisa Thomas"/>
    <x v="1"/>
    <x v="4"/>
    <n v="1014.56"/>
    <n v="10"/>
    <n v="0.1"/>
    <d v="2024-11-16T00:00:00"/>
    <n v="410.9"/>
    <m/>
    <n v="10145.599999999999"/>
  </r>
  <r>
    <s v="CUST019"/>
    <s v="James Taylor"/>
    <x v="2"/>
    <x v="2"/>
    <n v="718.04"/>
    <n v="14"/>
    <n v="0"/>
    <d v="2024-11-17T00:00:00"/>
    <n v="179.51"/>
    <m/>
    <n v="10052.56"/>
  </r>
  <r>
    <s v="CUST004"/>
    <s v="James Taylor"/>
    <x v="4"/>
    <x v="1"/>
    <n v="1277.8499999999999"/>
    <n v="18"/>
    <n v="0.2"/>
    <d v="2024-11-17T00:00:00"/>
    <n v="511.14"/>
    <m/>
    <n v="23001.3"/>
  </r>
  <r>
    <s v="CUST024"/>
    <s v="James Wilson"/>
    <x v="3"/>
    <x v="2"/>
    <n v="706.73"/>
    <n v="1"/>
    <n v="0.15"/>
    <d v="2024-11-17T00:00:00"/>
    <n v="150.18"/>
    <m/>
    <n v="706.73"/>
  </r>
  <r>
    <s v="CUST002"/>
    <s v="Linda Brown"/>
    <x v="1"/>
    <x v="2"/>
    <n v="1410.59"/>
    <n v="15"/>
    <n v="0"/>
    <d v="2024-11-19T00:00:00"/>
    <n v="352.65"/>
    <m/>
    <n v="21158.85"/>
  </r>
  <r>
    <s v="CUST009"/>
    <s v="Emma Wilson"/>
    <x v="2"/>
    <x v="3"/>
    <n v="1350.33"/>
    <n v="10"/>
    <n v="0"/>
    <d v="2024-11-19T00:00:00"/>
    <n v="472.62"/>
    <m/>
    <n v="13503.3"/>
  </r>
  <r>
    <s v="CUST029"/>
    <s v="Lisa Thomas"/>
    <x v="1"/>
    <x v="2"/>
    <n v="919.18"/>
    <n v="4"/>
    <n v="0.15"/>
    <d v="2024-11-19T00:00:00"/>
    <n v="195.33"/>
    <m/>
    <n v="3676.72"/>
  </r>
  <r>
    <s v="CUST027"/>
    <s v="James Wilson"/>
    <x v="0"/>
    <x v="2"/>
    <n v="258.51"/>
    <n v="19"/>
    <n v="0"/>
    <d v="2024-11-20T00:00:00"/>
    <n v="64.63"/>
    <m/>
    <n v="4911.6899999999996"/>
  </r>
  <r>
    <s v="CUST011"/>
    <s v="Emma Wilson"/>
    <x v="1"/>
    <x v="0"/>
    <n v="1213.48"/>
    <n v="5"/>
    <n v="0.05"/>
    <d v="2024-11-20T00:00:00"/>
    <n v="461.12"/>
    <m/>
    <n v="6067.4"/>
  </r>
  <r>
    <s v="CUST021"/>
    <s v="Emma Davis"/>
    <x v="4"/>
    <x v="0"/>
    <n v="1150.28"/>
    <n v="8"/>
    <n v="0.05"/>
    <d v="2024-11-26T00:00:00"/>
    <n v="437.11"/>
    <m/>
    <n v="9202.24"/>
  </r>
  <r>
    <s v="CUST014"/>
    <s v="David Anderson"/>
    <x v="2"/>
    <x v="3"/>
    <n v="853.86"/>
    <n v="8"/>
    <n v="0.1"/>
    <d v="2024-11-26T00:00:00"/>
    <n v="268.97000000000003"/>
    <m/>
    <n v="6830.88"/>
  </r>
  <r>
    <s v="CUST018"/>
    <s v="Lisa Thomas"/>
    <x v="2"/>
    <x v="2"/>
    <n v="1061.04"/>
    <n v="1"/>
    <n v="0"/>
    <d v="2024-11-28T00:00:00"/>
    <n v="265.26"/>
    <m/>
    <n v="1061.04"/>
  </r>
  <r>
    <s v="CUST001"/>
    <s v="Sarah Anderson"/>
    <x v="0"/>
    <x v="2"/>
    <n v="894.55"/>
    <n v="19"/>
    <n v="0.2"/>
    <d v="2024-11-29T00:00:00"/>
    <n v="178.91"/>
    <m/>
    <n v="16996.45"/>
  </r>
  <r>
    <s v="CUST007"/>
    <s v="Emma Davis"/>
    <x v="3"/>
    <x v="4"/>
    <n v="833.91"/>
    <n v="3"/>
    <n v="0.05"/>
    <d v="2024-11-30T00:00:00"/>
    <n v="356.5"/>
    <m/>
    <n v="2501.73"/>
  </r>
  <r>
    <s v="CUST015"/>
    <s v="David Anderson"/>
    <x v="0"/>
    <x v="3"/>
    <n v="820.19"/>
    <n v="4"/>
    <n v="0.2"/>
    <d v="2024-12-04T00:00:00"/>
    <n v="229.65"/>
    <m/>
    <n v="3280.76"/>
  </r>
  <r>
    <s v="CUST015"/>
    <s v="Emma Davis"/>
    <x v="4"/>
    <x v="2"/>
    <n v="511.74"/>
    <n v="8"/>
    <n v="0.05"/>
    <d v="2024-12-05T00:00:00"/>
    <n v="121.54"/>
    <m/>
    <n v="4093.92"/>
  </r>
  <r>
    <s v="CUST002"/>
    <s v="Emma Wilson"/>
    <x v="2"/>
    <x v="3"/>
    <n v="806.03"/>
    <n v="19"/>
    <n v="0.05"/>
    <d v="2024-12-12T00:00:00"/>
    <n v="268"/>
    <m/>
    <n v="15314.57"/>
  </r>
  <r>
    <s v="CUST001"/>
    <s v="Michael Anderson"/>
    <x v="4"/>
    <x v="3"/>
    <n v="1432.47"/>
    <n v="16"/>
    <n v="0.15"/>
    <d v="2024-12-14T00:00:00"/>
    <n v="426.16"/>
    <m/>
    <n v="22919.52"/>
  </r>
  <r>
    <s v="CUST027"/>
    <s v="Linda Wilson"/>
    <x v="4"/>
    <x v="2"/>
    <n v="1488.58"/>
    <n v="10"/>
    <n v="0.15"/>
    <d v="2024-12-14T00:00:00"/>
    <n v="316.32"/>
    <m/>
    <n v="14885.8"/>
  </r>
  <r>
    <s v="CUST026"/>
    <s v="Emma Taylor"/>
    <x v="1"/>
    <x v="0"/>
    <n v="1231.26"/>
    <n v="9"/>
    <n v="0"/>
    <d v="2024-12-20T00:00:00"/>
    <n v="492.5"/>
    <m/>
    <n v="11081.34"/>
  </r>
  <r>
    <s v="CUST026"/>
    <s v="Sarah Anderson"/>
    <x v="0"/>
    <x v="2"/>
    <n v="1161.67"/>
    <n v="19"/>
    <n v="0.2"/>
    <d v="2024-12-21T00:00:00"/>
    <n v="232.33"/>
    <m/>
    <n v="22071.730000000003"/>
  </r>
  <r>
    <s v="CUST022"/>
    <s v="Lisa Thomas"/>
    <x v="4"/>
    <x v="4"/>
    <n v="388.23"/>
    <n v="16"/>
    <n v="0.05"/>
    <d v="2024-12-24T00:00:00"/>
    <n v="165.97"/>
    <m/>
    <n v="6211.68"/>
  </r>
  <r>
    <s v="CUST004"/>
    <s v="Mary Davis"/>
    <x v="3"/>
    <x v="1"/>
    <n v="1589.42"/>
    <n v="6"/>
    <n v="0.15"/>
    <d v="2024-12-25T00:00:00"/>
    <n v="675.5"/>
    <m/>
    <n v="9536.52"/>
  </r>
  <r>
    <s v="CUST001"/>
    <s v="David Anderson"/>
    <x v="3"/>
    <x v="1"/>
    <n v="336.66"/>
    <n v="13"/>
    <n v="0.2"/>
    <d v="2024-12-25T00:00:00"/>
    <n v="134.66"/>
    <m/>
    <n v="4376.58"/>
  </r>
  <r>
    <s v="CUST022"/>
    <s v="James Wilson"/>
    <x v="0"/>
    <x v="0"/>
    <n v="1353.79"/>
    <n v="14"/>
    <n v="0.1"/>
    <d v="2024-12-30T00:00:00"/>
    <n v="487.36"/>
    <m/>
    <n v="18953.059999999998"/>
  </r>
  <r>
    <s v="CUST011"/>
    <s v="Linda Moore"/>
    <x v="4"/>
    <x v="1"/>
    <n v="662.61"/>
    <n v="11"/>
    <n v="0.05"/>
    <d v="2025-01-01T00:00:00"/>
    <n v="314.74"/>
    <m/>
    <n v="7288.71"/>
  </r>
  <r>
    <s v="CUST028"/>
    <s v="Lisa Davis"/>
    <x v="3"/>
    <x v="4"/>
    <n v="309.42"/>
    <n v="1"/>
    <n v="0.2"/>
    <d v="2025-01-01T00:00:00"/>
    <n v="111.39"/>
    <m/>
    <n v="309.42"/>
  </r>
  <r>
    <s v="CUST011"/>
    <s v="Linda Wilson"/>
    <x v="3"/>
    <x v="0"/>
    <n v="884.63"/>
    <n v="18"/>
    <n v="0.1"/>
    <d v="2025-01-02T00:00:00"/>
    <n v="318.47000000000003"/>
    <m/>
    <n v="15923.34"/>
  </r>
  <r>
    <s v="CUST028"/>
    <s v="James Wilson"/>
    <x v="4"/>
    <x v="4"/>
    <n v="745.05"/>
    <n v="10"/>
    <n v="0.1"/>
    <d v="2025-01-03T00:00:00"/>
    <n v="301.75"/>
    <m/>
    <n v="7450.5"/>
  </r>
  <r>
    <s v="CUST016"/>
    <s v="James Taylor"/>
    <x v="2"/>
    <x v="1"/>
    <n v="870.23"/>
    <n v="5"/>
    <n v="0.05"/>
    <d v="2025-01-03T00:00:00"/>
    <n v="413.36"/>
    <m/>
    <n v="4351.1499999999996"/>
  </r>
  <r>
    <s v="CUST010"/>
    <s v="Linda Wilson"/>
    <x v="0"/>
    <x v="3"/>
    <n v="862.19"/>
    <n v="18"/>
    <n v="0.05"/>
    <d v="2025-01-06T00:00:00"/>
    <n v="286.68"/>
    <m/>
    <n v="15519.420000000002"/>
  </r>
  <r>
    <s v="CUST013"/>
    <s v="Mary Wilson"/>
    <x v="3"/>
    <x v="1"/>
    <n v="1171.18"/>
    <n v="19"/>
    <n v="0.05"/>
    <d v="2025-01-10T00:00:00"/>
    <n v="556.30999999999995"/>
    <m/>
    <n v="22252.420000000002"/>
  </r>
  <r>
    <s v="CUST015"/>
    <s v="Robert Anderson"/>
    <x v="2"/>
    <x v="3"/>
    <n v="1054.56"/>
    <n v="11"/>
    <n v="0.1"/>
    <d v="2025-01-12T00:00:00"/>
    <n v="332.19"/>
    <m/>
    <n v="11600.16"/>
  </r>
  <r>
    <s v="CUST015"/>
    <s v="James Wilson"/>
    <x v="3"/>
    <x v="2"/>
    <n v="1681.21"/>
    <n v="5"/>
    <n v="0.2"/>
    <d v="2025-01-13T00:00:00"/>
    <n v="336.24"/>
    <m/>
    <n v="8406.0499999999993"/>
  </r>
  <r>
    <s v="CUST015"/>
    <s v="David Thomas"/>
    <x v="0"/>
    <x v="1"/>
    <n v="379.77"/>
    <n v="9"/>
    <n v="0.05"/>
    <d v="2025-01-16T00:00:00"/>
    <n v="180.39"/>
    <m/>
    <n v="3417.93"/>
  </r>
  <r>
    <s v="CUST008"/>
    <s v="Lisa Thomas"/>
    <x v="4"/>
    <x v="1"/>
    <n v="1076.33"/>
    <n v="2"/>
    <n v="0.1"/>
    <d v="2025-01-17T00:00:00"/>
    <n v="484.35"/>
    <m/>
    <n v="2152.66"/>
  </r>
  <r>
    <s v="CUST008"/>
    <s v="Mary Davis"/>
    <x v="4"/>
    <x v="4"/>
    <n v="1250.71"/>
    <n v="7"/>
    <n v="0"/>
    <d v="2025-01-17T00:00:00"/>
    <n v="562.82000000000005"/>
    <m/>
    <n v="8754.9700000000012"/>
  </r>
  <r>
    <s v="CUST023"/>
    <s v="James Taylor"/>
    <x v="2"/>
    <x v="1"/>
    <n v="1118.3399999999999"/>
    <n v="6"/>
    <n v="0.2"/>
    <d v="2025-01-17T00:00:00"/>
    <n v="447.34"/>
    <m/>
    <n v="6710.0399999999991"/>
  </r>
  <r>
    <s v="CUST024"/>
    <s v="Linda Taylor"/>
    <x v="3"/>
    <x v="1"/>
    <n v="1622.62"/>
    <n v="12"/>
    <n v="0.2"/>
    <d v="2025-01-20T00:00:00"/>
    <n v="649.04999999999995"/>
    <m/>
    <n v="19471.439999999999"/>
  </r>
  <r>
    <s v="CUST018"/>
    <s v="Lisa Davis"/>
    <x v="3"/>
    <x v="0"/>
    <n v="640.64"/>
    <n v="11"/>
    <n v="0.2"/>
    <d v="2025-01-21T00:00:00"/>
    <n v="205"/>
    <m/>
    <n v="7047.04"/>
  </r>
  <r>
    <s v="CUST030"/>
    <s v="Sarah Anderson"/>
    <x v="0"/>
    <x v="1"/>
    <n v="585.16"/>
    <n v="17"/>
    <n v="0.1"/>
    <d v="2025-01-27T00:00:00"/>
    <n v="263.32"/>
    <m/>
    <n v="9947.7199999999993"/>
  </r>
  <r>
    <s v="CUST030"/>
    <s v="Mary Davis"/>
    <x v="1"/>
    <x v="1"/>
    <n v="1109.98"/>
    <n v="5"/>
    <n v="0.2"/>
    <d v="2025-02-02T00:00:00"/>
    <n v="443.99"/>
    <m/>
    <n v="5549.9"/>
  </r>
  <r>
    <s v="CUST015"/>
    <s v="Lisa Thomas"/>
    <x v="1"/>
    <x v="0"/>
    <n v="1098.08"/>
    <n v="9"/>
    <n v="0.1"/>
    <d v="2025-02-04T00:00:00"/>
    <n v="395.31"/>
    <m/>
    <n v="9882.7199999999993"/>
  </r>
  <r>
    <s v="CUST002"/>
    <s v="Lisa Davis"/>
    <x v="0"/>
    <x v="4"/>
    <n v="827.25"/>
    <n v="7"/>
    <n v="0.1"/>
    <d v="2025-02-05T00:00:00"/>
    <n v="335.04"/>
    <m/>
    <n v="5790.75"/>
  </r>
  <r>
    <s v="CUST024"/>
    <s v="Linda Wilson"/>
    <x v="4"/>
    <x v="1"/>
    <n v="741.88"/>
    <n v="16"/>
    <n v="0.1"/>
    <d v="2025-02-07T00:00:00"/>
    <n v="333.85"/>
    <m/>
    <n v="11870.08"/>
  </r>
  <r>
    <s v="CUST004"/>
    <s v="James Davis"/>
    <x v="1"/>
    <x v="4"/>
    <n v="1311.26"/>
    <n v="6"/>
    <n v="0.1"/>
    <d v="2025-02-10T00:00:00"/>
    <n v="531.05999999999995"/>
    <m/>
    <n v="7867.5599999999995"/>
  </r>
  <r>
    <s v="CUST004"/>
    <s v="Mary Davis"/>
    <x v="2"/>
    <x v="4"/>
    <n v="573.32000000000005"/>
    <n v="19"/>
    <n v="0.1"/>
    <d v="2025-02-15T00:00:00"/>
    <n v="232.19"/>
    <m/>
    <n v="10893.080000000002"/>
  </r>
  <r>
    <s v="CUST028"/>
    <s v="James Wilson"/>
    <x v="0"/>
    <x v="2"/>
    <n v="1115.22"/>
    <n v="14"/>
    <n v="0.2"/>
    <d v="2025-02-17T00:00:00"/>
    <n v="223.04"/>
    <m/>
    <n v="15613.08"/>
  </r>
  <r>
    <s v="CUST012"/>
    <s v="Lisa Thomas"/>
    <x v="3"/>
    <x v="1"/>
    <n v="845.84"/>
    <n v="4"/>
    <n v="0"/>
    <d v="2025-02-19T00:00:00"/>
    <n v="422.92"/>
    <m/>
    <n v="3383.36"/>
  </r>
  <r>
    <s v="CUST026"/>
    <s v="David Brown"/>
    <x v="0"/>
    <x v="2"/>
    <n v="1029.8"/>
    <n v="3"/>
    <n v="0"/>
    <d v="2025-02-20T00:00:00"/>
    <n v="257.45"/>
    <m/>
    <n v="3089.3999999999996"/>
  </r>
  <r>
    <s v="CUST009"/>
    <s v="Mary Davis"/>
    <x v="3"/>
    <x v="0"/>
    <n v="1189.83"/>
    <n v="2"/>
    <n v="0.2"/>
    <d v="2025-02-21T00:00:00"/>
    <n v="380.75"/>
    <m/>
    <n v="2379.66"/>
  </r>
  <r>
    <s v="CUST003"/>
    <s v="Sarah Anderson"/>
    <x v="2"/>
    <x v="0"/>
    <n v="704.28"/>
    <n v="15"/>
    <n v="0.2"/>
    <d v="2025-02-24T00:00:00"/>
    <n v="225.37"/>
    <m/>
    <n v="10564.199999999999"/>
  </r>
  <r>
    <s v="CUST002"/>
    <s v="Mary Jackson"/>
    <x v="4"/>
    <x v="4"/>
    <n v="1618.22"/>
    <n v="12"/>
    <n v="0.2"/>
    <d v="2025-02-24T00:00:00"/>
    <n v="582.55999999999995"/>
    <m/>
    <n v="19418.64"/>
  </r>
  <r>
    <s v="CUST013"/>
    <s v="Linda Taylor"/>
    <x v="4"/>
    <x v="0"/>
    <n v="1014.43"/>
    <n v="2"/>
    <n v="0.15"/>
    <d v="2025-02-25T00:00:00"/>
    <n v="344.91"/>
    <m/>
    <n v="2028.86"/>
  </r>
  <r>
    <s v="CUST018"/>
    <s v="Mary Davis"/>
    <x v="4"/>
    <x v="1"/>
    <n v="826.97"/>
    <n v="18"/>
    <n v="0.2"/>
    <d v="2025-02-27T00:00:00"/>
    <n v="330.79"/>
    <m/>
    <n v="14885.460000000001"/>
  </r>
  <r>
    <s v="CUST017"/>
    <s v="Mary Davis"/>
    <x v="4"/>
    <x v="1"/>
    <n v="1022.23"/>
    <n v="8"/>
    <n v="0.1"/>
    <d v="2025-03-01T00:00:00"/>
    <n v="460"/>
    <m/>
    <n v="8177.84"/>
  </r>
  <r>
    <s v="CUST004"/>
    <s v="Linda Wilson"/>
    <x v="1"/>
    <x v="0"/>
    <n v="1099.69"/>
    <n v="6"/>
    <n v="0"/>
    <d v="2025-03-02T00:00:00"/>
    <n v="439.88"/>
    <m/>
    <n v="6598.14"/>
  </r>
  <r>
    <s v="CUST028"/>
    <s v="Sarah Davis"/>
    <x v="3"/>
    <x v="0"/>
    <n v="710.52"/>
    <n v="8"/>
    <n v="0.1"/>
    <d v="2025-03-05T00:00:00"/>
    <n v="255.79"/>
    <m/>
    <n v="5684.16"/>
  </r>
  <r>
    <s v="CUST028"/>
    <s v="Mary Wilson"/>
    <x v="3"/>
    <x v="0"/>
    <n v="499.18"/>
    <n v="15"/>
    <n v="0.2"/>
    <d v="2025-03-08T00:00:00"/>
    <n v="159.74"/>
    <m/>
    <n v="7487.7"/>
  </r>
  <r>
    <s v="CUST014"/>
    <s v="Emma Davis"/>
    <x v="2"/>
    <x v="0"/>
    <n v="1064.19"/>
    <n v="18"/>
    <n v="0.05"/>
    <d v="2025-03-09T00:00:00"/>
    <n v="404.39"/>
    <m/>
    <n v="19155.420000000002"/>
  </r>
  <r>
    <s v="CUST003"/>
    <s v="Emma Davis"/>
    <x v="1"/>
    <x v="4"/>
    <n v="438.76"/>
    <n v="18"/>
    <n v="0.05"/>
    <d v="2025-03-10T00:00:00"/>
    <n v="187.57"/>
    <m/>
    <n v="7897.68"/>
  </r>
  <r>
    <s v="CUST029"/>
    <s v="David Brown"/>
    <x v="0"/>
    <x v="1"/>
    <n v="864.98"/>
    <n v="2"/>
    <n v="0.05"/>
    <d v="2025-03-11T00:00:00"/>
    <n v="410.87"/>
    <m/>
    <n v="1729.96"/>
  </r>
  <r>
    <s v="CUST021"/>
    <s v="David Brown"/>
    <x v="0"/>
    <x v="3"/>
    <n v="984.93"/>
    <n v="14"/>
    <n v="0.2"/>
    <d v="2025-03-17T00:00:00"/>
    <n v="275.77999999999997"/>
    <m/>
    <n v="13789.019999999999"/>
  </r>
  <r>
    <s v="CUST007"/>
    <s v="David Brown"/>
    <x v="0"/>
    <x v="1"/>
    <n v="1493.49"/>
    <n v="18"/>
    <n v="0"/>
    <d v="2025-03-18T00:00:00"/>
    <n v="746.74"/>
    <m/>
    <n v="26882.82"/>
  </r>
  <r>
    <s v="CUST009"/>
    <s v="Linda Taylor"/>
    <x v="2"/>
    <x v="1"/>
    <n v="689.43"/>
    <n v="9"/>
    <n v="0.1"/>
    <d v="2025-03-20T00:00:00"/>
    <n v="310.24"/>
    <m/>
    <n v="6204.87"/>
  </r>
  <r>
    <s v="CUST023"/>
    <s v="Mary Wilson"/>
    <x v="2"/>
    <x v="1"/>
    <n v="682.24"/>
    <n v="1"/>
    <n v="0"/>
    <d v="2025-03-22T00:00:00"/>
    <n v="341.12"/>
    <m/>
    <n v="682.24"/>
  </r>
  <r>
    <s v="CUST029"/>
    <s v="Michael Anderson"/>
    <x v="3"/>
    <x v="2"/>
    <n v="458.54"/>
    <n v="15"/>
    <n v="0.2"/>
    <d v="2025-03-25T00:00:00"/>
    <n v="91.71"/>
    <m/>
    <n v="6878.1"/>
  </r>
  <r>
    <s v="CUST009"/>
    <s v="Michael Anderson"/>
    <x v="2"/>
    <x v="3"/>
    <n v="1184.25"/>
    <n v="11"/>
    <n v="0.2"/>
    <d v="2025-03-26T00:00:00"/>
    <n v="331.59"/>
    <m/>
    <n v="13026.75"/>
  </r>
  <r>
    <s v="CUST007"/>
    <s v="James Davis"/>
    <x v="2"/>
    <x v="1"/>
    <n v="762.14"/>
    <n v="9"/>
    <n v="0"/>
    <d v="2025-03-27T00:00:00"/>
    <n v="381.07"/>
    <m/>
    <n v="6859.26"/>
  </r>
  <r>
    <s v="CUST030"/>
    <s v="Linda Taylor"/>
    <x v="3"/>
    <x v="0"/>
    <n v="750.71"/>
    <n v="10"/>
    <n v="0.15"/>
    <d v="2025-03-27T00:00:00"/>
    <n v="255.24"/>
    <m/>
    <n v="7507.1"/>
  </r>
  <r>
    <s v="CUST018"/>
    <s v="David Anderson"/>
    <x v="4"/>
    <x v="1"/>
    <n v="1456.94"/>
    <n v="14"/>
    <n v="0.05"/>
    <d v="2025-03-29T00:00:00"/>
    <n v="692.05"/>
    <m/>
    <n v="20397.16"/>
  </r>
  <r>
    <s v="CUST008"/>
    <s v="Emma Wilson"/>
    <x v="1"/>
    <x v="3"/>
    <n v="1093.3800000000001"/>
    <n v="17"/>
    <n v="0.1"/>
    <d v="2025-03-29T00:00:00"/>
    <n v="344.41"/>
    <m/>
    <n v="18587.460000000003"/>
  </r>
  <r>
    <s v="CUST014"/>
    <s v="Sarah Anderson"/>
    <x v="0"/>
    <x v="1"/>
    <n v="934.27"/>
    <n v="8"/>
    <n v="0.15"/>
    <d v="2025-03-30T00:00:00"/>
    <n v="397.06"/>
    <m/>
    <n v="7474.16"/>
  </r>
  <r>
    <s v="CUST024"/>
    <s v="David Thomas"/>
    <x v="4"/>
    <x v="1"/>
    <n v="1465.35"/>
    <n v="8"/>
    <n v="0.2"/>
    <d v="2025-03-30T00:00:00"/>
    <n v="586.14"/>
    <m/>
    <n v="11722.8"/>
  </r>
  <r>
    <s v="CUST028"/>
    <s v="Robert Anderson"/>
    <x v="2"/>
    <x v="4"/>
    <n v="740.8"/>
    <n v="3"/>
    <n v="0"/>
    <d v="2025-04-02T00:00:00"/>
    <n v="333.36"/>
    <m/>
    <n v="2222.3999999999996"/>
  </r>
  <r>
    <s v="CUST015"/>
    <s v="Sarah Anderson"/>
    <x v="0"/>
    <x v="4"/>
    <n v="545.44000000000005"/>
    <n v="17"/>
    <n v="0"/>
    <d v="2025-04-05T00:00:00"/>
    <n v="245.45"/>
    <m/>
    <n v="9272.4800000000014"/>
  </r>
  <r>
    <s v="CUST010"/>
    <s v="David Thomas"/>
    <x v="1"/>
    <x v="0"/>
    <n v="997.61"/>
    <n v="8"/>
    <n v="0.05"/>
    <d v="2025-04-05T00:00:00"/>
    <n v="379.09"/>
    <m/>
    <n v="7980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204C7-26CF-49DF-895D-ED4431AC2E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A3:G10" firstHeaderRow="1" firstDataRow="2" firstDataCol="1"/>
  <pivotFields count="11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4"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10" baseField="0" baseItem="0"/>
  </dataFields>
  <chartFormats count="53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5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5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5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5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5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6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6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6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6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0"/>
          </reference>
        </references>
      </pivotArea>
    </chartFormat>
    <chartFormat chart="17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0"/>
          </reference>
        </references>
      </pivotArea>
    </chartFormat>
    <chartFormat chart="17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0"/>
          </reference>
        </references>
      </pivotArea>
    </chartFormat>
    <chartFormat chart="17" format="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0"/>
          </reference>
        </references>
      </pivotArea>
    </chartFormat>
    <chartFormat chart="17" format="1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0"/>
          </reference>
        </references>
      </pivotArea>
    </chartFormat>
    <chartFormat chart="17" format="1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1"/>
          </reference>
        </references>
      </pivotArea>
    </chartFormat>
    <chartFormat chart="17" format="1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1"/>
          </reference>
        </references>
      </pivotArea>
    </chartFormat>
    <chartFormat chart="17" format="1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1"/>
          </reference>
        </references>
      </pivotArea>
    </chartFormat>
    <chartFormat chart="17" format="1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1"/>
          </reference>
        </references>
      </pivotArea>
    </chartFormat>
    <chartFormat chart="17" format="1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1"/>
          </reference>
        </references>
      </pivotArea>
    </chartFormat>
    <chartFormat chart="17" format="1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2"/>
          </reference>
        </references>
      </pivotArea>
    </chartFormat>
    <chartFormat chart="17" format="1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2"/>
          </reference>
        </references>
      </pivotArea>
    </chartFormat>
    <chartFormat chart="17" format="1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2"/>
          </reference>
        </references>
      </pivotArea>
    </chartFormat>
    <chartFormat chart="17" format="1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2"/>
          </reference>
        </references>
      </pivotArea>
    </chartFormat>
    <chartFormat chart="17" format="2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2"/>
          </reference>
        </references>
      </pivotArea>
    </chartFormat>
    <chartFormat chart="17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3"/>
          </reference>
        </references>
      </pivotArea>
    </chartFormat>
    <chartFormat chart="17" format="22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3"/>
          </reference>
        </references>
      </pivotArea>
    </chartFormat>
    <chartFormat chart="17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3"/>
          </reference>
        </references>
      </pivotArea>
    </chartFormat>
    <chartFormat chart="17" format="24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3"/>
          </reference>
        </references>
      </pivotArea>
    </chartFormat>
    <chartFormat chart="17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3"/>
          </reference>
        </references>
      </pivotArea>
    </chartFormat>
    <chartFormat chart="17" format="26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3" count="1" selected="0">
            <x v="4"/>
          </reference>
        </references>
      </pivotArea>
    </chartFormat>
    <chartFormat chart="17" format="27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3" count="1" selected="0">
            <x v="4"/>
          </reference>
        </references>
      </pivotArea>
    </chartFormat>
    <chartFormat chart="17" format="2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3" count="1" selected="0">
            <x v="4"/>
          </reference>
        </references>
      </pivotArea>
    </chartFormat>
    <chartFormat chart="17" format="29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3" count="1" selected="0">
            <x v="4"/>
          </reference>
        </references>
      </pivotArea>
    </chartFormat>
    <chartFormat chart="17" format="30">
      <pivotArea type="data" outline="0" fieldPosition="0">
        <references count="3">
          <reference field="4294967294" count="1" selected="0">
            <x v="0"/>
          </reference>
          <reference field="2" count="1" selected="0">
            <x v="4"/>
          </reference>
          <reference field="3" count="1" selected="0">
            <x v="4"/>
          </reference>
        </references>
      </pivotArea>
    </chartFormat>
    <chartFormat chart="37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EA8524-664C-4D11-A7EC-AF8993C9485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7:G14" firstHeaderRow="1" firstDataRow="2" firstDataCol="1"/>
  <pivotFields count="11"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numFmtId="14"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Sales" fld="10" baseField="0" baseItem="0"/>
  </dataFields>
  <chartFormats count="20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7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9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9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9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9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9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5ADD7-02D5-46D4-ACC0-10D9AF20A662}">
  <dimension ref="A3:O17"/>
  <sheetViews>
    <sheetView workbookViewId="0">
      <selection activeCell="O17" sqref="O17"/>
    </sheetView>
  </sheetViews>
  <sheetFormatPr defaultRowHeight="14.4" x14ac:dyDescent="0.3"/>
  <cols>
    <col min="1" max="1" width="16.109375" bestFit="1" customWidth="1"/>
    <col min="2" max="2" width="15.5546875" bestFit="1" customWidth="1"/>
    <col min="3" max="3" width="10" bestFit="1" customWidth="1"/>
    <col min="4" max="4" width="10.33203125" bestFit="1" customWidth="1"/>
    <col min="5" max="5" width="10" bestFit="1" customWidth="1"/>
    <col min="6" max="6" width="13.77734375" bestFit="1" customWidth="1"/>
    <col min="7" max="7" width="11" bestFit="1" customWidth="1"/>
  </cols>
  <sheetData>
    <row r="3" spans="1:7" x14ac:dyDescent="0.3">
      <c r="A3" s="5" t="s">
        <v>79</v>
      </c>
      <c r="B3" s="5" t="s">
        <v>80</v>
      </c>
    </row>
    <row r="4" spans="1:7" x14ac:dyDescent="0.3">
      <c r="A4" s="5" t="s">
        <v>76</v>
      </c>
      <c r="B4" t="s">
        <v>12</v>
      </c>
      <c r="C4" t="s">
        <v>15</v>
      </c>
      <c r="D4" t="s">
        <v>21</v>
      </c>
      <c r="E4" t="s">
        <v>27</v>
      </c>
      <c r="F4" t="s">
        <v>39</v>
      </c>
      <c r="G4" t="s">
        <v>77</v>
      </c>
    </row>
    <row r="5" spans="1:7" x14ac:dyDescent="0.3">
      <c r="A5" s="6" t="s">
        <v>34</v>
      </c>
      <c r="B5">
        <v>111703.11</v>
      </c>
      <c r="C5">
        <v>131112.08000000002</v>
      </c>
      <c r="D5">
        <v>46833.81</v>
      </c>
      <c r="E5">
        <v>52264.37</v>
      </c>
      <c r="F5">
        <v>69377.25</v>
      </c>
      <c r="G5">
        <v>411290.62</v>
      </c>
    </row>
    <row r="6" spans="1:7" x14ac:dyDescent="0.3">
      <c r="A6" s="6" t="s">
        <v>18</v>
      </c>
      <c r="B6">
        <v>114077.53</v>
      </c>
      <c r="C6">
        <v>28796.36</v>
      </c>
      <c r="D6">
        <v>30233.27</v>
      </c>
      <c r="E6">
        <v>101055.84999999999</v>
      </c>
      <c r="F6">
        <v>96560.239999999991</v>
      </c>
      <c r="G6">
        <v>370723.25</v>
      </c>
    </row>
    <row r="7" spans="1:7" x14ac:dyDescent="0.3">
      <c r="A7" s="6" t="s">
        <v>24</v>
      </c>
      <c r="B7">
        <v>81566.62000000001</v>
      </c>
      <c r="C7">
        <v>80866.950000000012</v>
      </c>
      <c r="D7">
        <v>68660.670000000013</v>
      </c>
      <c r="E7">
        <v>67971.259999999995</v>
      </c>
      <c r="F7">
        <v>31642.59</v>
      </c>
      <c r="G7">
        <v>330708.09000000003</v>
      </c>
    </row>
    <row r="8" spans="1:7" x14ac:dyDescent="0.3">
      <c r="A8" s="6" t="s">
        <v>20</v>
      </c>
      <c r="B8">
        <v>105665.38</v>
      </c>
      <c r="C8">
        <v>49695.25</v>
      </c>
      <c r="D8">
        <v>108159.85999999997</v>
      </c>
      <c r="E8">
        <v>72367.650000000009</v>
      </c>
      <c r="F8">
        <v>31758.28</v>
      </c>
      <c r="G8">
        <v>367646.42000000004</v>
      </c>
    </row>
    <row r="9" spans="1:7" x14ac:dyDescent="0.3">
      <c r="A9" s="6" t="s">
        <v>11</v>
      </c>
      <c r="B9">
        <v>74553.33</v>
      </c>
      <c r="C9">
        <v>109729.74000000002</v>
      </c>
      <c r="D9">
        <v>153861.12999999998</v>
      </c>
      <c r="E9">
        <v>63281.060000000005</v>
      </c>
      <c r="F9">
        <v>61316.409999999996</v>
      </c>
      <c r="G9">
        <v>462741.66999999993</v>
      </c>
    </row>
    <row r="10" spans="1:7" x14ac:dyDescent="0.3">
      <c r="A10" s="6" t="s">
        <v>77</v>
      </c>
      <c r="B10">
        <v>487565.97000000003</v>
      </c>
      <c r="C10">
        <v>400200.38</v>
      </c>
      <c r="D10">
        <v>407748.74</v>
      </c>
      <c r="E10">
        <v>356940.19</v>
      </c>
      <c r="F10">
        <v>290654.76999999996</v>
      </c>
      <c r="G10">
        <v>1943110.0499999998</v>
      </c>
    </row>
    <row r="17" spans="15:15" x14ac:dyDescent="0.3">
      <c r="O17" s="12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FD80-DAC9-4911-944D-4B8A5EFC8971}">
  <dimension ref="A1:C200"/>
  <sheetViews>
    <sheetView workbookViewId="0">
      <selection activeCell="G27" sqref="G27"/>
    </sheetView>
  </sheetViews>
  <sheetFormatPr defaultRowHeight="14.4" x14ac:dyDescent="0.3"/>
  <cols>
    <col min="1" max="1" width="17.5546875" customWidth="1"/>
    <col min="2" max="2" width="16.109375" customWidth="1"/>
    <col min="3" max="3" width="15.44140625" style="14" customWidth="1"/>
  </cols>
  <sheetData>
    <row r="1" spans="1:3" ht="15" thickBot="1" x14ac:dyDescent="0.35">
      <c r="A1" t="s">
        <v>125</v>
      </c>
      <c r="B1" t="s">
        <v>126</v>
      </c>
      <c r="C1" s="14" t="s">
        <v>127</v>
      </c>
    </row>
    <row r="2" spans="1:3" ht="15" thickBot="1" x14ac:dyDescent="0.35">
      <c r="A2" s="13">
        <v>45392</v>
      </c>
      <c r="B2">
        <f>SUMIFS(Sheet1!$K:$K,Sheet1!$H:$H,"&gt;="&amp;A2,Sheet1!$H:$H,"&lt;"&amp;EDATE(A2,1))</f>
        <v>249639.65999999995</v>
      </c>
      <c r="C2" s="14">
        <f>(B3-B2)/B2</f>
        <v>-9.0778043841270792E-3</v>
      </c>
    </row>
    <row r="3" spans="1:3" ht="15" thickBot="1" x14ac:dyDescent="0.35">
      <c r="A3" s="13">
        <v>45393</v>
      </c>
      <c r="B3">
        <f>SUMIFS(Sheet1!$K:$K,Sheet1!$H:$H,"&gt;="&amp;A3,Sheet1!$H:$H,"&lt;"&amp;EDATE(A3,1))</f>
        <v>247373.47999999995</v>
      </c>
      <c r="C3" s="14">
        <f>(B4-B3)/B3</f>
        <v>-1.3355675798391958E-2</v>
      </c>
    </row>
    <row r="4" spans="1:3" ht="15" thickBot="1" x14ac:dyDescent="0.35">
      <c r="A4" s="13">
        <v>45396</v>
      </c>
      <c r="B4">
        <f>SUMIFS(Sheet1!$K:$K,Sheet1!$H:$H,"&gt;="&amp;A4,Sheet1!$H:$H,"&lt;"&amp;EDATE(A4,1))</f>
        <v>244069.63999999996</v>
      </c>
      <c r="C4" s="14">
        <f t="shared" ref="C4:C67" si="0">(B5-B4)/B4</f>
        <v>0</v>
      </c>
    </row>
    <row r="5" spans="1:3" ht="15" thickBot="1" x14ac:dyDescent="0.35">
      <c r="A5" s="13">
        <v>45396</v>
      </c>
      <c r="B5">
        <f>SUMIFS(Sheet1!$K:$K,Sheet1!$H:$H,"&gt;="&amp;A5,Sheet1!$H:$H,"&lt;"&amp;EDATE(A5,1))</f>
        <v>244069.63999999996</v>
      </c>
      <c r="C5" s="14">
        <f t="shared" si="0"/>
        <v>2.4241400937863582E-2</v>
      </c>
    </row>
    <row r="6" spans="1:3" ht="15" thickBot="1" x14ac:dyDescent="0.35">
      <c r="A6" s="13">
        <v>45397</v>
      </c>
      <c r="B6">
        <f>SUMIFS(Sheet1!$K:$K,Sheet1!$H:$H,"&gt;="&amp;A6,Sheet1!$H:$H,"&lt;"&amp;EDATE(A6,1))</f>
        <v>249986.22999999998</v>
      </c>
      <c r="C6" s="14">
        <f t="shared" si="0"/>
        <v>-1.164244126566496E-2</v>
      </c>
    </row>
    <row r="7" spans="1:3" ht="15" thickBot="1" x14ac:dyDescent="0.35">
      <c r="A7" s="13">
        <v>45398</v>
      </c>
      <c r="B7">
        <f>SUMIFS(Sheet1!$K:$K,Sheet1!$H:$H,"&gt;="&amp;A7,Sheet1!$H:$H,"&lt;"&amp;EDATE(A7,1))</f>
        <v>247075.77999999997</v>
      </c>
      <c r="C7" s="14">
        <f t="shared" si="0"/>
        <v>0</v>
      </c>
    </row>
    <row r="8" spans="1:3" ht="15" thickBot="1" x14ac:dyDescent="0.35">
      <c r="A8" s="13">
        <v>45398</v>
      </c>
      <c r="B8">
        <f>SUMIFS(Sheet1!$K:$K,Sheet1!$H:$H,"&gt;="&amp;A8,Sheet1!$H:$H,"&lt;"&amp;EDATE(A8,1))</f>
        <v>247075.77999999997</v>
      </c>
      <c r="C8" s="14">
        <f t="shared" si="0"/>
        <v>0.15735755240760568</v>
      </c>
    </row>
    <row r="9" spans="1:3" ht="15" thickBot="1" x14ac:dyDescent="0.35">
      <c r="A9" s="13">
        <v>45401</v>
      </c>
      <c r="B9">
        <f>SUMIFS(Sheet1!$K:$K,Sheet1!$H:$H,"&gt;="&amp;A9,Sheet1!$H:$H,"&lt;"&amp;EDATE(A9,1))</f>
        <v>285955.02</v>
      </c>
      <c r="C9" s="14">
        <f t="shared" si="0"/>
        <v>0</v>
      </c>
    </row>
    <row r="10" spans="1:3" ht="15" thickBot="1" x14ac:dyDescent="0.35">
      <c r="A10" s="13">
        <v>45401</v>
      </c>
      <c r="B10">
        <f>SUMIFS(Sheet1!$K:$K,Sheet1!$H:$H,"&gt;="&amp;A10,Sheet1!$H:$H,"&lt;"&amp;EDATE(A10,1))</f>
        <v>285955.02</v>
      </c>
      <c r="C10" s="14">
        <f t="shared" si="0"/>
        <v>0</v>
      </c>
    </row>
    <row r="11" spans="1:3" ht="15" thickBot="1" x14ac:dyDescent="0.35">
      <c r="A11" s="13">
        <v>45401</v>
      </c>
      <c r="B11">
        <f>SUMIFS(Sheet1!$K:$K,Sheet1!$H:$H,"&gt;="&amp;A11,Sheet1!$H:$H,"&lt;"&amp;EDATE(A11,1))</f>
        <v>285955.02</v>
      </c>
      <c r="C11" s="14">
        <f t="shared" si="0"/>
        <v>-4.6994733647270831E-2</v>
      </c>
    </row>
    <row r="12" spans="1:3" ht="15" thickBot="1" x14ac:dyDescent="0.35">
      <c r="A12" s="13">
        <v>45402</v>
      </c>
      <c r="B12">
        <f>SUMIFS(Sheet1!$K:$K,Sheet1!$H:$H,"&gt;="&amp;A12,Sheet1!$H:$H,"&lt;"&amp;EDATE(A12,1))</f>
        <v>272516.64</v>
      </c>
      <c r="C12" s="14">
        <f t="shared" si="0"/>
        <v>-3.4628784502847176E-2</v>
      </c>
    </row>
    <row r="13" spans="1:3" ht="15" thickBot="1" x14ac:dyDescent="0.35">
      <c r="A13" s="13">
        <v>45404</v>
      </c>
      <c r="B13">
        <f>SUMIFS(Sheet1!$K:$K,Sheet1!$H:$H,"&gt;="&amp;A13,Sheet1!$H:$H,"&lt;"&amp;EDATE(A13,1))</f>
        <v>263079.72000000003</v>
      </c>
      <c r="C13" s="14">
        <f t="shared" si="0"/>
        <v>6.7603766645334476E-2</v>
      </c>
    </row>
    <row r="14" spans="1:3" ht="15" thickBot="1" x14ac:dyDescent="0.35">
      <c r="A14" s="13">
        <v>45406</v>
      </c>
      <c r="B14">
        <f>SUMIFS(Sheet1!$K:$K,Sheet1!$H:$H,"&gt;="&amp;A14,Sheet1!$H:$H,"&lt;"&amp;EDATE(A14,1))</f>
        <v>280864.89999999997</v>
      </c>
      <c r="C14" s="14">
        <f t="shared" si="0"/>
        <v>0</v>
      </c>
    </row>
    <row r="15" spans="1:3" ht="15" thickBot="1" x14ac:dyDescent="0.35">
      <c r="A15" s="13">
        <v>45406</v>
      </c>
      <c r="B15">
        <f>SUMIFS(Sheet1!$K:$K,Sheet1!$H:$H,"&gt;="&amp;A15,Sheet1!$H:$H,"&lt;"&amp;EDATE(A15,1))</f>
        <v>280864.89999999997</v>
      </c>
      <c r="C15" s="14">
        <f t="shared" si="0"/>
        <v>-7.9889227881447492E-2</v>
      </c>
    </row>
    <row r="16" spans="1:3" ht="15" thickBot="1" x14ac:dyDescent="0.35">
      <c r="A16" s="13">
        <v>45409</v>
      </c>
      <c r="B16">
        <f>SUMIFS(Sheet1!$K:$K,Sheet1!$H:$H,"&gt;="&amp;A16,Sheet1!$H:$H,"&lt;"&amp;EDATE(A16,1))</f>
        <v>258426.82</v>
      </c>
      <c r="C16" s="14">
        <f t="shared" si="0"/>
        <v>-3.0279558445211092E-2</v>
      </c>
    </row>
    <row r="17" spans="1:3" ht="15" thickBot="1" x14ac:dyDescent="0.35">
      <c r="A17" s="13">
        <v>45410</v>
      </c>
      <c r="B17">
        <f>SUMIFS(Sheet1!$K:$K,Sheet1!$H:$H,"&gt;="&amp;A17,Sheet1!$H:$H,"&lt;"&amp;EDATE(A17,1))</f>
        <v>250601.76999999996</v>
      </c>
      <c r="C17" s="14">
        <f t="shared" si="0"/>
        <v>-8.3961976804872385E-2</v>
      </c>
    </row>
    <row r="18" spans="1:3" ht="15" thickBot="1" x14ac:dyDescent="0.35">
      <c r="A18" s="13">
        <v>45411</v>
      </c>
      <c r="B18">
        <f>SUMIFS(Sheet1!$K:$K,Sheet1!$H:$H,"&gt;="&amp;A18,Sheet1!$H:$H,"&lt;"&amp;EDATE(A18,1))</f>
        <v>229560.75</v>
      </c>
      <c r="C18" s="14">
        <f t="shared" si="0"/>
        <v>0</v>
      </c>
    </row>
    <row r="19" spans="1:3" ht="15" thickBot="1" x14ac:dyDescent="0.35">
      <c r="A19" s="13">
        <v>45411</v>
      </c>
      <c r="B19">
        <f>SUMIFS(Sheet1!$K:$K,Sheet1!$H:$H,"&gt;="&amp;A19,Sheet1!$H:$H,"&lt;"&amp;EDATE(A19,1))</f>
        <v>229560.75</v>
      </c>
      <c r="C19" s="14">
        <f t="shared" si="0"/>
        <v>-4.9322891652863285E-2</v>
      </c>
    </row>
    <row r="20" spans="1:3" ht="15" thickBot="1" x14ac:dyDescent="0.35">
      <c r="A20" s="13">
        <v>45412</v>
      </c>
      <c r="B20">
        <f>SUMIFS(Sheet1!$K:$K,Sheet1!$H:$H,"&gt;="&amp;A20,Sheet1!$H:$H,"&lt;"&amp;EDATE(A20,1))</f>
        <v>218238.14999999997</v>
      </c>
      <c r="C20" s="14">
        <f t="shared" si="0"/>
        <v>-8.9717677683759475E-2</v>
      </c>
    </row>
    <row r="21" spans="1:3" ht="15" thickBot="1" x14ac:dyDescent="0.35">
      <c r="A21" s="13">
        <v>45414</v>
      </c>
      <c r="B21">
        <f>SUMIFS(Sheet1!$K:$K,Sheet1!$H:$H,"&gt;="&amp;A21,Sheet1!$H:$H,"&lt;"&amp;EDATE(A21,1))</f>
        <v>198658.33000000002</v>
      </c>
      <c r="C21" s="14">
        <f t="shared" si="0"/>
        <v>7.3936340852155447E-2</v>
      </c>
    </row>
    <row r="22" spans="1:3" ht="15" thickBot="1" x14ac:dyDescent="0.35">
      <c r="A22" s="13">
        <v>45415</v>
      </c>
      <c r="B22">
        <f>SUMIFS(Sheet1!$K:$K,Sheet1!$H:$H,"&gt;="&amp;A22,Sheet1!$H:$H,"&lt;"&amp;EDATE(A22,1))</f>
        <v>213346.4</v>
      </c>
      <c r="C22" s="14">
        <f t="shared" si="0"/>
        <v>-4.9151520719355885E-2</v>
      </c>
    </row>
    <row r="23" spans="1:3" ht="15" thickBot="1" x14ac:dyDescent="0.35">
      <c r="A23" s="13">
        <v>45416</v>
      </c>
      <c r="B23">
        <f>SUMIFS(Sheet1!$K:$K,Sheet1!$H:$H,"&gt;="&amp;A23,Sheet1!$H:$H,"&lt;"&amp;EDATE(A23,1))</f>
        <v>202860.1</v>
      </c>
      <c r="C23" s="14">
        <f t="shared" si="0"/>
        <v>0</v>
      </c>
    </row>
    <row r="24" spans="1:3" ht="15" thickBot="1" x14ac:dyDescent="0.35">
      <c r="A24" s="13">
        <v>45416</v>
      </c>
      <c r="B24">
        <f>SUMIFS(Sheet1!$K:$K,Sheet1!$H:$H,"&gt;="&amp;A24,Sheet1!$H:$H,"&lt;"&amp;EDATE(A24,1))</f>
        <v>202860.1</v>
      </c>
      <c r="C24" s="14">
        <f t="shared" si="0"/>
        <v>0</v>
      </c>
    </row>
    <row r="25" spans="1:3" ht="15" thickBot="1" x14ac:dyDescent="0.35">
      <c r="A25" s="13">
        <v>45416</v>
      </c>
      <c r="B25">
        <f>SUMIFS(Sheet1!$K:$K,Sheet1!$H:$H,"&gt;="&amp;A25,Sheet1!$H:$H,"&lt;"&amp;EDATE(A25,1))</f>
        <v>202860.1</v>
      </c>
      <c r="C25" s="14">
        <f t="shared" si="0"/>
        <v>0.12613165427799727</v>
      </c>
    </row>
    <row r="26" spans="1:3" ht="15" thickBot="1" x14ac:dyDescent="0.35">
      <c r="A26" s="13">
        <v>45418</v>
      </c>
      <c r="B26">
        <f>SUMIFS(Sheet1!$K:$K,Sheet1!$H:$H,"&gt;="&amp;A26,Sheet1!$H:$H,"&lt;"&amp;EDATE(A26,1))</f>
        <v>228447.17999999996</v>
      </c>
      <c r="C26" s="14">
        <f t="shared" si="0"/>
        <v>0</v>
      </c>
    </row>
    <row r="27" spans="1:3" ht="15" thickBot="1" x14ac:dyDescent="0.35">
      <c r="A27" s="13">
        <v>45418</v>
      </c>
      <c r="B27">
        <f>SUMIFS(Sheet1!$K:$K,Sheet1!$H:$H,"&gt;="&amp;A27,Sheet1!$H:$H,"&lt;"&amp;EDATE(A27,1))</f>
        <v>228447.17999999996</v>
      </c>
      <c r="C27" s="14">
        <f t="shared" si="0"/>
        <v>-2.181265708773459E-2</v>
      </c>
    </row>
    <row r="28" spans="1:3" ht="15" thickBot="1" x14ac:dyDescent="0.35">
      <c r="A28" s="13">
        <v>45420</v>
      </c>
      <c r="B28">
        <f>SUMIFS(Sheet1!$K:$K,Sheet1!$H:$H,"&gt;="&amp;A28,Sheet1!$H:$H,"&lt;"&amp;EDATE(A28,1))</f>
        <v>223464.13999999998</v>
      </c>
      <c r="C28" s="14">
        <f t="shared" si="0"/>
        <v>4.9520115397486159E-2</v>
      </c>
    </row>
    <row r="29" spans="1:3" ht="15" thickBot="1" x14ac:dyDescent="0.35">
      <c r="A29" s="13">
        <v>45422</v>
      </c>
      <c r="B29">
        <f>SUMIFS(Sheet1!$K:$K,Sheet1!$H:$H,"&gt;="&amp;A29,Sheet1!$H:$H,"&lt;"&amp;EDATE(A29,1))</f>
        <v>234530.11</v>
      </c>
      <c r="C29" s="14">
        <f t="shared" si="0"/>
        <v>-8.0082681068115013E-3</v>
      </c>
    </row>
    <row r="30" spans="1:3" ht="15" thickBot="1" x14ac:dyDescent="0.35">
      <c r="A30" s="13">
        <v>45426</v>
      </c>
      <c r="B30">
        <f>SUMIFS(Sheet1!$K:$K,Sheet1!$H:$H,"&gt;="&amp;A30,Sheet1!$H:$H,"&lt;"&amp;EDATE(A30,1))</f>
        <v>232651.93</v>
      </c>
      <c r="C30" s="14">
        <f t="shared" si="0"/>
        <v>0</v>
      </c>
    </row>
    <row r="31" spans="1:3" ht="15" thickBot="1" x14ac:dyDescent="0.35">
      <c r="A31" s="13">
        <v>45426</v>
      </c>
      <c r="B31">
        <f>SUMIFS(Sheet1!$K:$K,Sheet1!$H:$H,"&gt;="&amp;A31,Sheet1!$H:$H,"&lt;"&amp;EDATE(A31,1))</f>
        <v>232651.93</v>
      </c>
      <c r="C31" s="14">
        <f t="shared" si="0"/>
        <v>-7.0639388205376227E-2</v>
      </c>
    </row>
    <row r="32" spans="1:3" ht="15" thickBot="1" x14ac:dyDescent="0.35">
      <c r="A32" s="13">
        <v>45427</v>
      </c>
      <c r="B32">
        <f>SUMIFS(Sheet1!$K:$K,Sheet1!$H:$H,"&gt;="&amp;A32,Sheet1!$H:$H,"&lt;"&amp;EDATE(A32,1))</f>
        <v>216217.53999999998</v>
      </c>
      <c r="C32" s="14">
        <f t="shared" si="0"/>
        <v>-3.3547463355655553E-2</v>
      </c>
    </row>
    <row r="33" spans="1:3" ht="15" thickBot="1" x14ac:dyDescent="0.35">
      <c r="A33" s="13">
        <v>45428</v>
      </c>
      <c r="B33">
        <f>SUMIFS(Sheet1!$K:$K,Sheet1!$H:$H,"&gt;="&amp;A33,Sheet1!$H:$H,"&lt;"&amp;EDATE(A33,1))</f>
        <v>208963.99</v>
      </c>
      <c r="C33" s="14">
        <f t="shared" si="0"/>
        <v>0</v>
      </c>
    </row>
    <row r="34" spans="1:3" ht="15" thickBot="1" x14ac:dyDescent="0.35">
      <c r="A34" s="13">
        <v>45428</v>
      </c>
      <c r="B34">
        <f>SUMIFS(Sheet1!$K:$K,Sheet1!$H:$H,"&gt;="&amp;A34,Sheet1!$H:$H,"&lt;"&amp;EDATE(A34,1))</f>
        <v>208963.99</v>
      </c>
      <c r="C34" s="14">
        <f t="shared" si="0"/>
        <v>-0.10856597828171259</v>
      </c>
    </row>
    <row r="35" spans="1:3" ht="15" thickBot="1" x14ac:dyDescent="0.35">
      <c r="A35" s="13">
        <v>45429</v>
      </c>
      <c r="B35">
        <f>SUMIFS(Sheet1!$K:$K,Sheet1!$H:$H,"&gt;="&amp;A35,Sheet1!$H:$H,"&lt;"&amp;EDATE(A35,1))</f>
        <v>186277.61</v>
      </c>
      <c r="C35" s="14">
        <f t="shared" si="0"/>
        <v>0</v>
      </c>
    </row>
    <row r="36" spans="1:3" ht="15" thickBot="1" x14ac:dyDescent="0.35">
      <c r="A36" s="13">
        <v>45429</v>
      </c>
      <c r="B36">
        <f>SUMIFS(Sheet1!$K:$K,Sheet1!$H:$H,"&gt;="&amp;A36,Sheet1!$H:$H,"&lt;"&amp;EDATE(A36,1))</f>
        <v>186277.61</v>
      </c>
      <c r="C36" s="14">
        <f t="shared" si="0"/>
        <v>0</v>
      </c>
    </row>
    <row r="37" spans="1:3" ht="15" thickBot="1" x14ac:dyDescent="0.35">
      <c r="A37" s="13">
        <v>45429</v>
      </c>
      <c r="B37">
        <f>SUMIFS(Sheet1!$K:$K,Sheet1!$H:$H,"&gt;="&amp;A37,Sheet1!$H:$H,"&lt;"&amp;EDATE(A37,1))</f>
        <v>186277.61</v>
      </c>
      <c r="C37" s="14">
        <f t="shared" si="0"/>
        <v>0</v>
      </c>
    </row>
    <row r="38" spans="1:3" ht="15" thickBot="1" x14ac:dyDescent="0.35">
      <c r="A38" s="13">
        <v>45429</v>
      </c>
      <c r="B38">
        <f>SUMIFS(Sheet1!$K:$K,Sheet1!$H:$H,"&gt;="&amp;A38,Sheet1!$H:$H,"&lt;"&amp;EDATE(A38,1))</f>
        <v>186277.61</v>
      </c>
      <c r="C38" s="14">
        <f t="shared" si="0"/>
        <v>-0.12260904571408222</v>
      </c>
    </row>
    <row r="39" spans="1:3" ht="15" thickBot="1" x14ac:dyDescent="0.35">
      <c r="A39" s="13">
        <v>45434</v>
      </c>
      <c r="B39">
        <f>SUMIFS(Sheet1!$K:$K,Sheet1!$H:$H,"&gt;="&amp;A39,Sheet1!$H:$H,"&lt;"&amp;EDATE(A39,1))</f>
        <v>163438.29</v>
      </c>
      <c r="C39" s="14">
        <f t="shared" si="0"/>
        <v>0</v>
      </c>
    </row>
    <row r="40" spans="1:3" ht="15" thickBot="1" x14ac:dyDescent="0.35">
      <c r="A40" s="13">
        <v>45434</v>
      </c>
      <c r="B40">
        <f>SUMIFS(Sheet1!$K:$K,Sheet1!$H:$H,"&gt;="&amp;A40,Sheet1!$H:$H,"&lt;"&amp;EDATE(A40,1))</f>
        <v>163438.29</v>
      </c>
      <c r="C40" s="14">
        <f t="shared" si="0"/>
        <v>-0.1563943797992505</v>
      </c>
    </row>
    <row r="41" spans="1:3" ht="15" thickBot="1" x14ac:dyDescent="0.35">
      <c r="A41" s="13">
        <v>45435</v>
      </c>
      <c r="B41">
        <f>SUMIFS(Sheet1!$K:$K,Sheet1!$H:$H,"&gt;="&amp;A41,Sheet1!$H:$H,"&lt;"&amp;EDATE(A41,1))</f>
        <v>137877.45999999996</v>
      </c>
      <c r="C41" s="14">
        <f t="shared" si="0"/>
        <v>0.46771720337755024</v>
      </c>
    </row>
    <row r="42" spans="1:3" ht="15" thickBot="1" x14ac:dyDescent="0.35">
      <c r="A42" s="13">
        <v>45445</v>
      </c>
      <c r="B42">
        <f>SUMIFS(Sheet1!$K:$K,Sheet1!$H:$H,"&gt;="&amp;A42,Sheet1!$H:$H,"&lt;"&amp;EDATE(A42,1))</f>
        <v>202365.12</v>
      </c>
      <c r="C42" s="14">
        <f t="shared" si="0"/>
        <v>-8.5331652015920648E-2</v>
      </c>
    </row>
    <row r="43" spans="1:3" ht="15" thickBot="1" x14ac:dyDescent="0.35">
      <c r="A43" s="13">
        <v>45447</v>
      </c>
      <c r="B43">
        <f>SUMIFS(Sheet1!$K:$K,Sheet1!$H:$H,"&gt;="&amp;A43,Sheet1!$H:$H,"&lt;"&amp;EDATE(A43,1))</f>
        <v>185096.96999999997</v>
      </c>
      <c r="C43" s="14">
        <f t="shared" si="0"/>
        <v>0</v>
      </c>
    </row>
    <row r="44" spans="1:3" ht="15" thickBot="1" x14ac:dyDescent="0.35">
      <c r="A44" s="13">
        <v>45447</v>
      </c>
      <c r="B44">
        <f>SUMIFS(Sheet1!$K:$K,Sheet1!$H:$H,"&gt;="&amp;A44,Sheet1!$H:$H,"&lt;"&amp;EDATE(A44,1))</f>
        <v>185096.96999999997</v>
      </c>
      <c r="C44" s="14">
        <f t="shared" si="0"/>
        <v>-6.078176212176796E-2</v>
      </c>
    </row>
    <row r="45" spans="1:3" ht="15" thickBot="1" x14ac:dyDescent="0.35">
      <c r="A45" s="13">
        <v>45448</v>
      </c>
      <c r="B45">
        <f>SUMIFS(Sheet1!$K:$K,Sheet1!$H:$H,"&gt;="&amp;A45,Sheet1!$H:$H,"&lt;"&amp;EDATE(A45,1))</f>
        <v>173846.44999999995</v>
      </c>
      <c r="C45" s="14">
        <f t="shared" si="0"/>
        <v>0</v>
      </c>
    </row>
    <row r="46" spans="1:3" ht="15" thickBot="1" x14ac:dyDescent="0.35">
      <c r="A46" s="13">
        <v>45448</v>
      </c>
      <c r="B46">
        <f>SUMIFS(Sheet1!$K:$K,Sheet1!$H:$H,"&gt;="&amp;A46,Sheet1!$H:$H,"&lt;"&amp;EDATE(A46,1))</f>
        <v>173846.44999999995</v>
      </c>
      <c r="C46" s="14">
        <f t="shared" si="0"/>
        <v>-0.11295456421456967</v>
      </c>
    </row>
    <row r="47" spans="1:3" ht="15" thickBot="1" x14ac:dyDescent="0.35">
      <c r="A47" s="13">
        <v>45449</v>
      </c>
      <c r="B47">
        <f>SUMIFS(Sheet1!$K:$K,Sheet1!$H:$H,"&gt;="&amp;A47,Sheet1!$H:$H,"&lt;"&amp;EDATE(A47,1))</f>
        <v>154209.69999999998</v>
      </c>
      <c r="C47" s="14">
        <f t="shared" si="0"/>
        <v>0</v>
      </c>
    </row>
    <row r="48" spans="1:3" ht="15" thickBot="1" x14ac:dyDescent="0.35">
      <c r="A48" s="13">
        <v>45449</v>
      </c>
      <c r="B48">
        <f>SUMIFS(Sheet1!$K:$K,Sheet1!$H:$H,"&gt;="&amp;A48,Sheet1!$H:$H,"&lt;"&amp;EDATE(A48,1))</f>
        <v>154209.69999999998</v>
      </c>
      <c r="C48" s="14">
        <f t="shared" si="0"/>
        <v>-4.6143984457527494E-2</v>
      </c>
    </row>
    <row r="49" spans="1:3" ht="15" thickBot="1" x14ac:dyDescent="0.35">
      <c r="A49" s="13">
        <v>45450</v>
      </c>
      <c r="B49">
        <f>SUMIFS(Sheet1!$K:$K,Sheet1!$H:$H,"&gt;="&amp;A49,Sheet1!$H:$H,"&lt;"&amp;EDATE(A49,1))</f>
        <v>147093.85</v>
      </c>
      <c r="C49" s="14">
        <f t="shared" si="0"/>
        <v>-8.1708650633592256E-2</v>
      </c>
    </row>
    <row r="50" spans="1:3" ht="15" thickBot="1" x14ac:dyDescent="0.35">
      <c r="A50" s="13">
        <v>45451</v>
      </c>
      <c r="B50">
        <f>SUMIFS(Sheet1!$K:$K,Sheet1!$H:$H,"&gt;="&amp;A50,Sheet1!$H:$H,"&lt;"&amp;EDATE(A50,1))</f>
        <v>135075.00999999998</v>
      </c>
      <c r="C50" s="14">
        <f t="shared" si="0"/>
        <v>0.11784141270839088</v>
      </c>
    </row>
    <row r="51" spans="1:3" ht="15" thickBot="1" x14ac:dyDescent="0.35">
      <c r="A51" s="13">
        <v>45457</v>
      </c>
      <c r="B51">
        <f>SUMIFS(Sheet1!$K:$K,Sheet1!$H:$H,"&gt;="&amp;A51,Sheet1!$H:$H,"&lt;"&amp;EDATE(A51,1))</f>
        <v>150992.44</v>
      </c>
      <c r="C51" s="14">
        <f t="shared" si="0"/>
        <v>0.18704102006696513</v>
      </c>
    </row>
    <row r="52" spans="1:3" ht="15" thickBot="1" x14ac:dyDescent="0.35">
      <c r="A52" s="13">
        <v>45461</v>
      </c>
      <c r="B52">
        <f>SUMIFS(Sheet1!$K:$K,Sheet1!$H:$H,"&gt;="&amp;A52,Sheet1!$H:$H,"&lt;"&amp;EDATE(A52,1))</f>
        <v>179234.22000000003</v>
      </c>
      <c r="C52" s="14">
        <f t="shared" si="0"/>
        <v>-3.419447469350443E-2</v>
      </c>
    </row>
    <row r="53" spans="1:3" ht="15" thickBot="1" x14ac:dyDescent="0.35">
      <c r="A53" s="13">
        <v>45463</v>
      </c>
      <c r="B53">
        <f>SUMIFS(Sheet1!$K:$K,Sheet1!$H:$H,"&gt;="&amp;A53,Sheet1!$H:$H,"&lt;"&amp;EDATE(A53,1))</f>
        <v>173105.40000000002</v>
      </c>
      <c r="C53" s="14">
        <f t="shared" si="0"/>
        <v>-4.9601803294409046E-2</v>
      </c>
    </row>
    <row r="54" spans="1:3" ht="15" thickBot="1" x14ac:dyDescent="0.35">
      <c r="A54" s="13">
        <v>45464</v>
      </c>
      <c r="B54">
        <f>SUMIFS(Sheet1!$K:$K,Sheet1!$H:$H,"&gt;="&amp;A54,Sheet1!$H:$H,"&lt;"&amp;EDATE(A54,1))</f>
        <v>164519.06000000003</v>
      </c>
      <c r="C54" s="14">
        <f t="shared" si="0"/>
        <v>5.5002745578536426E-2</v>
      </c>
    </row>
    <row r="55" spans="1:3" ht="15" thickBot="1" x14ac:dyDescent="0.35">
      <c r="A55" s="13">
        <v>45466</v>
      </c>
      <c r="B55">
        <f>SUMIFS(Sheet1!$K:$K,Sheet1!$H:$H,"&gt;="&amp;A55,Sheet1!$H:$H,"&lt;"&amp;EDATE(A55,1))</f>
        <v>173568.06</v>
      </c>
      <c r="C55" s="14">
        <f t="shared" si="0"/>
        <v>-9.7784119958475968E-2</v>
      </c>
    </row>
    <row r="56" spans="1:3" ht="15" thickBot="1" x14ac:dyDescent="0.35">
      <c r="A56" s="13">
        <v>45468</v>
      </c>
      <c r="B56">
        <f>SUMIFS(Sheet1!$K:$K,Sheet1!$H:$H,"&gt;="&amp;A56,Sheet1!$H:$H,"&lt;"&amp;EDATE(A56,1))</f>
        <v>156595.86000000004</v>
      </c>
      <c r="C56" s="14">
        <f t="shared" si="0"/>
        <v>0</v>
      </c>
    </row>
    <row r="57" spans="1:3" ht="15" thickBot="1" x14ac:dyDescent="0.35">
      <c r="A57" s="13">
        <v>45468</v>
      </c>
      <c r="B57">
        <f>SUMIFS(Sheet1!$K:$K,Sheet1!$H:$H,"&gt;="&amp;A57,Sheet1!$H:$H,"&lt;"&amp;EDATE(A57,1))</f>
        <v>156595.86000000004</v>
      </c>
      <c r="C57" s="14">
        <f t="shared" si="0"/>
        <v>-0.13711984467533225</v>
      </c>
    </row>
    <row r="58" spans="1:3" ht="15" thickBot="1" x14ac:dyDescent="0.35">
      <c r="A58" s="13">
        <v>45470</v>
      </c>
      <c r="B58">
        <f>SUMIFS(Sheet1!$K:$K,Sheet1!$H:$H,"&gt;="&amp;A58,Sheet1!$H:$H,"&lt;"&amp;EDATE(A58,1))</f>
        <v>135123.45999999996</v>
      </c>
      <c r="C58" s="14">
        <f t="shared" si="0"/>
        <v>-7.9230209173151531E-2</v>
      </c>
    </row>
    <row r="59" spans="1:3" ht="15" thickBot="1" x14ac:dyDescent="0.35">
      <c r="A59" s="13">
        <v>45471</v>
      </c>
      <c r="B59">
        <f>SUMIFS(Sheet1!$K:$K,Sheet1!$H:$H,"&gt;="&amp;A59,Sheet1!$H:$H,"&lt;"&amp;EDATE(A59,1))</f>
        <v>124417.59999999999</v>
      </c>
      <c r="C59" s="14">
        <f t="shared" si="0"/>
        <v>5.079667185349749E-4</v>
      </c>
    </row>
    <row r="60" spans="1:3" ht="15" thickBot="1" x14ac:dyDescent="0.35">
      <c r="A60" s="13">
        <v>45473</v>
      </c>
      <c r="B60">
        <f>SUMIFS(Sheet1!$K:$K,Sheet1!$H:$H,"&gt;="&amp;A60,Sheet1!$H:$H,"&lt;"&amp;EDATE(A60,1))</f>
        <v>124480.79999999999</v>
      </c>
      <c r="C60" s="14">
        <f t="shared" si="0"/>
        <v>0</v>
      </c>
    </row>
    <row r="61" spans="1:3" ht="15" thickBot="1" x14ac:dyDescent="0.35">
      <c r="A61" s="13">
        <v>45473</v>
      </c>
      <c r="B61">
        <f>SUMIFS(Sheet1!$K:$K,Sheet1!$H:$H,"&gt;="&amp;A61,Sheet1!$H:$H,"&lt;"&amp;EDATE(A61,1))</f>
        <v>124480.79999999999</v>
      </c>
      <c r="C61" s="14">
        <f t="shared" si="0"/>
        <v>-5.1191027049954603E-2</v>
      </c>
    </row>
    <row r="62" spans="1:3" ht="15" thickBot="1" x14ac:dyDescent="0.35">
      <c r="A62" s="13">
        <v>45478</v>
      </c>
      <c r="B62">
        <f>SUMIFS(Sheet1!$K:$K,Sheet1!$H:$H,"&gt;="&amp;A62,Sheet1!$H:$H,"&lt;"&amp;EDATE(A62,1))</f>
        <v>118108.5</v>
      </c>
      <c r="C62" s="14">
        <f t="shared" si="0"/>
        <v>-1.3940148253512636E-2</v>
      </c>
    </row>
    <row r="63" spans="1:3" ht="15" thickBot="1" x14ac:dyDescent="0.35">
      <c r="A63" s="13">
        <v>45479</v>
      </c>
      <c r="B63">
        <f>SUMIFS(Sheet1!$K:$K,Sheet1!$H:$H,"&gt;="&amp;A63,Sheet1!$H:$H,"&lt;"&amp;EDATE(A63,1))</f>
        <v>116462.05</v>
      </c>
      <c r="C63" s="14">
        <f t="shared" si="0"/>
        <v>-3.778836110132016E-2</v>
      </c>
    </row>
    <row r="64" spans="1:3" ht="15" thickBot="1" x14ac:dyDescent="0.35">
      <c r="A64" s="13">
        <v>45481</v>
      </c>
      <c r="B64">
        <f>SUMIFS(Sheet1!$K:$K,Sheet1!$H:$H,"&gt;="&amp;A64,Sheet1!$H:$H,"&lt;"&amp;EDATE(A64,1))</f>
        <v>112061.14</v>
      </c>
      <c r="C64" s="14">
        <f t="shared" si="0"/>
        <v>0</v>
      </c>
    </row>
    <row r="65" spans="1:3" ht="15" thickBot="1" x14ac:dyDescent="0.35">
      <c r="A65" s="13">
        <v>45481</v>
      </c>
      <c r="B65">
        <f>SUMIFS(Sheet1!$K:$K,Sheet1!$H:$H,"&gt;="&amp;A65,Sheet1!$H:$H,"&lt;"&amp;EDATE(A65,1))</f>
        <v>112061.14</v>
      </c>
      <c r="C65" s="14">
        <f t="shared" si="0"/>
        <v>-0.1170903669193442</v>
      </c>
    </row>
    <row r="66" spans="1:3" ht="15" thickBot="1" x14ac:dyDescent="0.35">
      <c r="A66" s="13">
        <v>45482</v>
      </c>
      <c r="B66">
        <f>SUMIFS(Sheet1!$K:$K,Sheet1!$H:$H,"&gt;="&amp;A66,Sheet1!$H:$H,"&lt;"&amp;EDATE(A66,1))</f>
        <v>98939.86</v>
      </c>
      <c r="C66" s="14">
        <f t="shared" si="0"/>
        <v>5.8196969350876671E-3</v>
      </c>
    </row>
    <row r="67" spans="1:3" ht="15" thickBot="1" x14ac:dyDescent="0.35">
      <c r="A67" s="13">
        <v>45487</v>
      </c>
      <c r="B67">
        <f>SUMIFS(Sheet1!$K:$K,Sheet1!$H:$H,"&gt;="&amp;A67,Sheet1!$H:$H,"&lt;"&amp;EDATE(A67,1))</f>
        <v>99515.66</v>
      </c>
      <c r="C67" s="14">
        <f t="shared" si="0"/>
        <v>-0.15596037849721339</v>
      </c>
    </row>
    <row r="68" spans="1:3" ht="15" thickBot="1" x14ac:dyDescent="0.35">
      <c r="A68" s="13">
        <v>45488</v>
      </c>
      <c r="B68">
        <f>SUMIFS(Sheet1!$K:$K,Sheet1!$H:$H,"&gt;="&amp;A68,Sheet1!$H:$H,"&lt;"&amp;EDATE(A68,1))</f>
        <v>83995.16</v>
      </c>
      <c r="C68" s="14">
        <f t="shared" ref="C68:C131" si="1">(B69-B68)/B68</f>
        <v>0</v>
      </c>
    </row>
    <row r="69" spans="1:3" ht="15" thickBot="1" x14ac:dyDescent="0.35">
      <c r="A69" s="13">
        <v>45488</v>
      </c>
      <c r="B69">
        <f>SUMIFS(Sheet1!$K:$K,Sheet1!$H:$H,"&gt;="&amp;A69,Sheet1!$H:$H,"&lt;"&amp;EDATE(A69,1))</f>
        <v>83995.16</v>
      </c>
      <c r="C69" s="14">
        <f t="shared" si="1"/>
        <v>-0.10538857238917104</v>
      </c>
    </row>
    <row r="70" spans="1:3" ht="15" thickBot="1" x14ac:dyDescent="0.35">
      <c r="A70" s="13">
        <v>45494</v>
      </c>
      <c r="B70">
        <f>SUMIFS(Sheet1!$K:$K,Sheet1!$H:$H,"&gt;="&amp;A70,Sheet1!$H:$H,"&lt;"&amp;EDATE(A70,1))</f>
        <v>75143.03</v>
      </c>
      <c r="C70" s="14">
        <f t="shared" si="1"/>
        <v>0.16000951784882783</v>
      </c>
    </row>
    <row r="71" spans="1:3" ht="15" thickBot="1" x14ac:dyDescent="0.35">
      <c r="A71" s="13">
        <v>45502</v>
      </c>
      <c r="B71">
        <f>SUMIFS(Sheet1!$K:$K,Sheet1!$H:$H,"&gt;="&amp;A71,Sheet1!$H:$H,"&lt;"&amp;EDATE(A71,1))</f>
        <v>87166.63</v>
      </c>
      <c r="C71" s="14">
        <f t="shared" si="1"/>
        <v>-9.2330057959107998E-3</v>
      </c>
    </row>
    <row r="72" spans="1:3" ht="15" thickBot="1" x14ac:dyDescent="0.35">
      <c r="A72" s="13">
        <v>45503</v>
      </c>
      <c r="B72">
        <f>SUMIFS(Sheet1!$K:$K,Sheet1!$H:$H,"&gt;="&amp;A72,Sheet1!$H:$H,"&lt;"&amp;EDATE(A72,1))</f>
        <v>86361.819999999992</v>
      </c>
      <c r="C72" s="14">
        <f t="shared" si="1"/>
        <v>0.36762263694766989</v>
      </c>
    </row>
    <row r="73" spans="1:3" ht="15" thickBot="1" x14ac:dyDescent="0.35">
      <c r="A73" s="13">
        <v>45504</v>
      </c>
      <c r="B73">
        <f>SUMIFS(Sheet1!$K:$K,Sheet1!$H:$H,"&gt;="&amp;A73,Sheet1!$H:$H,"&lt;"&amp;EDATE(A73,1))</f>
        <v>118110.38</v>
      </c>
      <c r="C73" s="14">
        <f t="shared" si="1"/>
        <v>-4.756127276874416E-2</v>
      </c>
    </row>
    <row r="74" spans="1:3" ht="15" thickBot="1" x14ac:dyDescent="0.35">
      <c r="A74" s="13">
        <v>45509</v>
      </c>
      <c r="B74">
        <f>SUMIFS(Sheet1!$K:$K,Sheet1!$H:$H,"&gt;="&amp;A74,Sheet1!$H:$H,"&lt;"&amp;EDATE(A74,1))</f>
        <v>112492.89999999998</v>
      </c>
      <c r="C74" s="14">
        <f t="shared" si="1"/>
        <v>0</v>
      </c>
    </row>
    <row r="75" spans="1:3" ht="15" thickBot="1" x14ac:dyDescent="0.35">
      <c r="A75" s="13">
        <v>45509</v>
      </c>
      <c r="B75">
        <f>SUMIFS(Sheet1!$K:$K,Sheet1!$H:$H,"&gt;="&amp;A75,Sheet1!$H:$H,"&lt;"&amp;EDATE(A75,1))</f>
        <v>112492.89999999998</v>
      </c>
      <c r="C75" s="14">
        <f t="shared" si="1"/>
        <v>-8.3738173698073376E-2</v>
      </c>
    </row>
    <row r="76" spans="1:3" ht="15" thickBot="1" x14ac:dyDescent="0.35">
      <c r="A76" s="13">
        <v>45512</v>
      </c>
      <c r="B76">
        <f>SUMIFS(Sheet1!$K:$K,Sheet1!$H:$H,"&gt;="&amp;A76,Sheet1!$H:$H,"&lt;"&amp;EDATE(A76,1))</f>
        <v>103072.94999999998</v>
      </c>
      <c r="C76" s="14">
        <f t="shared" si="1"/>
        <v>-0.19254130205839642</v>
      </c>
    </row>
    <row r="77" spans="1:3" ht="15" thickBot="1" x14ac:dyDescent="0.35">
      <c r="A77" s="13">
        <v>45513</v>
      </c>
      <c r="B77">
        <f>SUMIFS(Sheet1!$K:$K,Sheet1!$H:$H,"&gt;="&amp;A77,Sheet1!$H:$H,"&lt;"&amp;EDATE(A77,1))</f>
        <v>83227.149999999994</v>
      </c>
      <c r="C77" s="14">
        <f t="shared" si="1"/>
        <v>1.0758200899586254</v>
      </c>
    </row>
    <row r="78" spans="1:3" ht="15" thickBot="1" x14ac:dyDescent="0.35">
      <c r="A78" s="13">
        <v>45519</v>
      </c>
      <c r="B78">
        <f>SUMIFS(Sheet1!$K:$K,Sheet1!$H:$H,"&gt;="&amp;A78,Sheet1!$H:$H,"&lt;"&amp;EDATE(A78,1))</f>
        <v>172764.59</v>
      </c>
      <c r="C78" s="14">
        <f t="shared" si="1"/>
        <v>7.3685469921816682E-2</v>
      </c>
    </row>
    <row r="79" spans="1:3" ht="15" thickBot="1" x14ac:dyDescent="0.35">
      <c r="A79" s="13">
        <v>45522</v>
      </c>
      <c r="B79">
        <f>SUMIFS(Sheet1!$K:$K,Sheet1!$H:$H,"&gt;="&amp;A79,Sheet1!$H:$H,"&lt;"&amp;EDATE(A79,1))</f>
        <v>185494.83</v>
      </c>
      <c r="C79" s="14">
        <f t="shared" si="1"/>
        <v>9.9158397029178794E-2</v>
      </c>
    </row>
    <row r="80" spans="1:3" ht="15" thickBot="1" x14ac:dyDescent="0.35">
      <c r="A80" s="13">
        <v>45523</v>
      </c>
      <c r="B80">
        <f>SUMIFS(Sheet1!$K:$K,Sheet1!$H:$H,"&gt;="&amp;A80,Sheet1!$H:$H,"&lt;"&amp;EDATE(A80,1))</f>
        <v>203888.2</v>
      </c>
      <c r="C80" s="14">
        <f t="shared" si="1"/>
        <v>-5.450732313101129E-3</v>
      </c>
    </row>
    <row r="81" spans="1:3" ht="15" thickBot="1" x14ac:dyDescent="0.35">
      <c r="A81" s="13">
        <v>45526</v>
      </c>
      <c r="B81">
        <f>SUMIFS(Sheet1!$K:$K,Sheet1!$H:$H,"&gt;="&amp;A81,Sheet1!$H:$H,"&lt;"&amp;EDATE(A81,1))</f>
        <v>202776.86</v>
      </c>
      <c r="C81" s="14">
        <f t="shared" si="1"/>
        <v>0.12211161569421695</v>
      </c>
    </row>
    <row r="82" spans="1:3" ht="15" thickBot="1" x14ac:dyDescent="0.35">
      <c r="A82" s="13">
        <v>45534</v>
      </c>
      <c r="B82">
        <f>SUMIFS(Sheet1!$K:$K,Sheet1!$H:$H,"&gt;="&amp;A82,Sheet1!$H:$H,"&lt;"&amp;EDATE(A82,1))</f>
        <v>227538.27000000002</v>
      </c>
      <c r="C82" s="14">
        <f t="shared" si="1"/>
        <v>0</v>
      </c>
    </row>
    <row r="83" spans="1:3" ht="15" thickBot="1" x14ac:dyDescent="0.35">
      <c r="A83" s="13">
        <v>45534</v>
      </c>
      <c r="B83">
        <f>SUMIFS(Sheet1!$K:$K,Sheet1!$H:$H,"&gt;="&amp;A83,Sheet1!$H:$H,"&lt;"&amp;EDATE(A83,1))</f>
        <v>227538.27000000002</v>
      </c>
      <c r="C83" s="14">
        <f t="shared" si="1"/>
        <v>-6.361220026855284E-2</v>
      </c>
    </row>
    <row r="84" spans="1:3" ht="15" thickBot="1" x14ac:dyDescent="0.35">
      <c r="A84" s="13">
        <v>45536</v>
      </c>
      <c r="B84">
        <f>SUMIFS(Sheet1!$K:$K,Sheet1!$H:$H,"&gt;="&amp;A84,Sheet1!$H:$H,"&lt;"&amp;EDATE(A84,1))</f>
        <v>213064.05999999997</v>
      </c>
      <c r="C84" s="14">
        <f t="shared" si="1"/>
        <v>0</v>
      </c>
    </row>
    <row r="85" spans="1:3" ht="15" thickBot="1" x14ac:dyDescent="0.35">
      <c r="A85" s="13">
        <v>45536</v>
      </c>
      <c r="B85">
        <f>SUMIFS(Sheet1!$K:$K,Sheet1!$H:$H,"&gt;="&amp;A85,Sheet1!$H:$H,"&lt;"&amp;EDATE(A85,1))</f>
        <v>213064.05999999997</v>
      </c>
      <c r="C85" s="14">
        <f t="shared" si="1"/>
        <v>7.4568089991338765E-2</v>
      </c>
    </row>
    <row r="86" spans="1:3" ht="15" thickBot="1" x14ac:dyDescent="0.35">
      <c r="A86" s="13">
        <v>45544</v>
      </c>
      <c r="B86">
        <f>SUMIFS(Sheet1!$K:$K,Sheet1!$H:$H,"&gt;="&amp;A86,Sheet1!$H:$H,"&lt;"&amp;EDATE(A86,1))</f>
        <v>228951.83999999997</v>
      </c>
      <c r="C86" s="14">
        <f t="shared" si="1"/>
        <v>0</v>
      </c>
    </row>
    <row r="87" spans="1:3" ht="15" thickBot="1" x14ac:dyDescent="0.35">
      <c r="A87" s="13">
        <v>45544</v>
      </c>
      <c r="B87">
        <f>SUMIFS(Sheet1!$K:$K,Sheet1!$H:$H,"&gt;="&amp;A87,Sheet1!$H:$H,"&lt;"&amp;EDATE(A87,1))</f>
        <v>228951.83999999997</v>
      </c>
      <c r="C87" s="14">
        <f t="shared" si="1"/>
        <v>-7.4657753351097769E-2</v>
      </c>
    </row>
    <row r="88" spans="1:3" ht="15" thickBot="1" x14ac:dyDescent="0.35">
      <c r="A88" s="13">
        <v>45546</v>
      </c>
      <c r="B88">
        <f>SUMIFS(Sheet1!$K:$K,Sheet1!$H:$H,"&gt;="&amp;A88,Sheet1!$H:$H,"&lt;"&amp;EDATE(A88,1))</f>
        <v>211858.80999999997</v>
      </c>
      <c r="C88" s="14">
        <f t="shared" si="1"/>
        <v>-3.711575647951558E-2</v>
      </c>
    </row>
    <row r="89" spans="1:3" ht="15" thickBot="1" x14ac:dyDescent="0.35">
      <c r="A89" s="13">
        <v>45547</v>
      </c>
      <c r="B89">
        <f>SUMIFS(Sheet1!$K:$K,Sheet1!$H:$H,"&gt;="&amp;A89,Sheet1!$H:$H,"&lt;"&amp;EDATE(A89,1))</f>
        <v>203995.51</v>
      </c>
      <c r="C89" s="14">
        <f t="shared" si="1"/>
        <v>3.916752873629567E-3</v>
      </c>
    </row>
    <row r="90" spans="1:3" ht="15" thickBot="1" x14ac:dyDescent="0.35">
      <c r="A90" s="13">
        <v>45549</v>
      </c>
      <c r="B90">
        <f>SUMIFS(Sheet1!$K:$K,Sheet1!$H:$H,"&gt;="&amp;A90,Sheet1!$H:$H,"&lt;"&amp;EDATE(A90,1))</f>
        <v>204794.51000000004</v>
      </c>
      <c r="C90" s="14">
        <f t="shared" si="1"/>
        <v>0</v>
      </c>
    </row>
    <row r="91" spans="1:3" ht="15" thickBot="1" x14ac:dyDescent="0.35">
      <c r="A91" s="13">
        <v>45549</v>
      </c>
      <c r="B91">
        <f>SUMIFS(Sheet1!$K:$K,Sheet1!$H:$H,"&gt;="&amp;A91,Sheet1!$H:$H,"&lt;"&amp;EDATE(A91,1))</f>
        <v>204794.51000000004</v>
      </c>
      <c r="C91" s="14">
        <f t="shared" si="1"/>
        <v>-7.6254632021141702E-2</v>
      </c>
    </row>
    <row r="92" spans="1:3" ht="15" thickBot="1" x14ac:dyDescent="0.35">
      <c r="A92" s="13">
        <v>45551</v>
      </c>
      <c r="B92">
        <f>SUMIFS(Sheet1!$K:$K,Sheet1!$H:$H,"&gt;="&amp;A92,Sheet1!$H:$H,"&lt;"&amp;EDATE(A92,1))</f>
        <v>189177.98</v>
      </c>
      <c r="C92" s="14">
        <f t="shared" si="1"/>
        <v>7.880922504828522E-2</v>
      </c>
    </row>
    <row r="93" spans="1:3" ht="15" thickBot="1" x14ac:dyDescent="0.35">
      <c r="A93" s="13">
        <v>45552</v>
      </c>
      <c r="B93">
        <f>SUMIFS(Sheet1!$K:$K,Sheet1!$H:$H,"&gt;="&amp;A93,Sheet1!$H:$H,"&lt;"&amp;EDATE(A93,1))</f>
        <v>204086.95</v>
      </c>
      <c r="C93" s="14">
        <f t="shared" si="1"/>
        <v>0</v>
      </c>
    </row>
    <row r="94" spans="1:3" ht="15" thickBot="1" x14ac:dyDescent="0.35">
      <c r="A94" s="13">
        <v>45552</v>
      </c>
      <c r="B94">
        <f>SUMIFS(Sheet1!$K:$K,Sheet1!$H:$H,"&gt;="&amp;A94,Sheet1!$H:$H,"&lt;"&amp;EDATE(A94,1))</f>
        <v>204086.95</v>
      </c>
      <c r="C94" s="14">
        <f t="shared" si="1"/>
        <v>1.7516161616409117E-2</v>
      </c>
    </row>
    <row r="95" spans="1:3" ht="15" thickBot="1" x14ac:dyDescent="0.35">
      <c r="A95" s="13">
        <v>45553</v>
      </c>
      <c r="B95">
        <f>SUMIFS(Sheet1!$K:$K,Sheet1!$H:$H,"&gt;="&amp;A95,Sheet1!$H:$H,"&lt;"&amp;EDATE(A95,1))</f>
        <v>207661.77000000002</v>
      </c>
      <c r="C95" s="14">
        <f t="shared" si="1"/>
        <v>-3.9470625719890746E-2</v>
      </c>
    </row>
    <row r="96" spans="1:3" ht="15" thickBot="1" x14ac:dyDescent="0.35">
      <c r="A96" s="13">
        <v>45557</v>
      </c>
      <c r="B96">
        <f>SUMIFS(Sheet1!$K:$K,Sheet1!$H:$H,"&gt;="&amp;A96,Sheet1!$H:$H,"&lt;"&amp;EDATE(A96,1))</f>
        <v>199465.22999999998</v>
      </c>
      <c r="C96" s="14">
        <f t="shared" si="1"/>
        <v>-9.6889066831345842E-3</v>
      </c>
    </row>
    <row r="97" spans="1:3" ht="15" thickBot="1" x14ac:dyDescent="0.35">
      <c r="A97" s="13">
        <v>45558</v>
      </c>
      <c r="B97">
        <f>SUMIFS(Sheet1!$K:$K,Sheet1!$H:$H,"&gt;="&amp;A97,Sheet1!$H:$H,"&lt;"&amp;EDATE(A97,1))</f>
        <v>197532.63</v>
      </c>
      <c r="C97" s="14">
        <f t="shared" si="1"/>
        <v>-2.7868205875657123E-2</v>
      </c>
    </row>
    <row r="98" spans="1:3" ht="15" thickBot="1" x14ac:dyDescent="0.35">
      <c r="A98" s="13">
        <v>45559</v>
      </c>
      <c r="B98">
        <f>SUMIFS(Sheet1!$K:$K,Sheet1!$H:$H,"&gt;="&amp;A98,Sheet1!$H:$H,"&lt;"&amp;EDATE(A98,1))</f>
        <v>192027.75</v>
      </c>
      <c r="C98" s="14">
        <f t="shared" si="1"/>
        <v>0</v>
      </c>
    </row>
    <row r="99" spans="1:3" ht="15" thickBot="1" x14ac:dyDescent="0.35">
      <c r="A99" s="13">
        <v>45559</v>
      </c>
      <c r="B99">
        <f>SUMIFS(Sheet1!$K:$K,Sheet1!$H:$H,"&gt;="&amp;A99,Sheet1!$H:$H,"&lt;"&amp;EDATE(A99,1))</f>
        <v>192027.75</v>
      </c>
      <c r="C99" s="14">
        <f t="shared" si="1"/>
        <v>-0.10838912605079215</v>
      </c>
    </row>
    <row r="100" spans="1:3" ht="15" thickBot="1" x14ac:dyDescent="0.35">
      <c r="A100" s="13">
        <v>45564</v>
      </c>
      <c r="B100">
        <f>SUMIFS(Sheet1!$K:$K,Sheet1!$H:$H,"&gt;="&amp;A100,Sheet1!$H:$H,"&lt;"&amp;EDATE(A100,1))</f>
        <v>171214.03</v>
      </c>
      <c r="C100" s="14">
        <f t="shared" si="1"/>
        <v>0</v>
      </c>
    </row>
    <row r="101" spans="1:3" ht="15" thickBot="1" x14ac:dyDescent="0.35">
      <c r="A101" s="13">
        <v>45564</v>
      </c>
      <c r="B101">
        <f>SUMIFS(Sheet1!$K:$K,Sheet1!$H:$H,"&gt;="&amp;A101,Sheet1!$H:$H,"&lt;"&amp;EDATE(A101,1))</f>
        <v>171214.03</v>
      </c>
      <c r="C101" s="14">
        <f t="shared" si="1"/>
        <v>-0.11153046277807967</v>
      </c>
    </row>
    <row r="102" spans="1:3" ht="15" thickBot="1" x14ac:dyDescent="0.35">
      <c r="A102" s="13">
        <v>45565</v>
      </c>
      <c r="B102">
        <f>SUMIFS(Sheet1!$K:$K,Sheet1!$H:$H,"&gt;="&amp;A102,Sheet1!$H:$H,"&lt;"&amp;EDATE(A102,1))</f>
        <v>152118.44999999998</v>
      </c>
      <c r="C102" s="14">
        <f t="shared" si="1"/>
        <v>0</v>
      </c>
    </row>
    <row r="103" spans="1:3" ht="15" thickBot="1" x14ac:dyDescent="0.35">
      <c r="A103" s="13">
        <v>45565</v>
      </c>
      <c r="B103">
        <f>SUMIFS(Sheet1!$K:$K,Sheet1!$H:$H,"&gt;="&amp;A103,Sheet1!$H:$H,"&lt;"&amp;EDATE(A103,1))</f>
        <v>152118.44999999998</v>
      </c>
      <c r="C103" s="14">
        <f t="shared" si="1"/>
        <v>-1.6790599693857017E-2</v>
      </c>
    </row>
    <row r="104" spans="1:3" ht="15" thickBot="1" x14ac:dyDescent="0.35">
      <c r="A104" s="13">
        <v>45567</v>
      </c>
      <c r="B104">
        <f>SUMIFS(Sheet1!$K:$K,Sheet1!$H:$H,"&gt;="&amp;A104,Sheet1!$H:$H,"&lt;"&amp;EDATE(A104,1))</f>
        <v>149564.28999999998</v>
      </c>
      <c r="C104" s="14">
        <f t="shared" si="1"/>
        <v>6.7924636288515371E-3</v>
      </c>
    </row>
    <row r="105" spans="1:3" ht="15" thickBot="1" x14ac:dyDescent="0.35">
      <c r="A105" s="13">
        <v>45570</v>
      </c>
      <c r="B105">
        <f>SUMIFS(Sheet1!$K:$K,Sheet1!$H:$H,"&gt;="&amp;A105,Sheet1!$H:$H,"&lt;"&amp;EDATE(A105,1))</f>
        <v>150580.19999999998</v>
      </c>
      <c r="C105" s="14">
        <f t="shared" si="1"/>
        <v>-6.5610286080108715E-2</v>
      </c>
    </row>
    <row r="106" spans="1:3" ht="15" thickBot="1" x14ac:dyDescent="0.35">
      <c r="A106" s="13">
        <v>45575</v>
      </c>
      <c r="B106">
        <f>SUMIFS(Sheet1!$K:$K,Sheet1!$H:$H,"&gt;="&amp;A106,Sheet1!$H:$H,"&lt;"&amp;EDATE(A106,1))</f>
        <v>140700.59</v>
      </c>
      <c r="C106" s="14">
        <f t="shared" si="1"/>
        <v>-7.3150510598427324E-2</v>
      </c>
    </row>
    <row r="107" spans="1:3" ht="15" thickBot="1" x14ac:dyDescent="0.35">
      <c r="A107" s="13">
        <v>45577</v>
      </c>
      <c r="B107">
        <f>SUMIFS(Sheet1!$K:$K,Sheet1!$H:$H,"&gt;="&amp;A107,Sheet1!$H:$H,"&lt;"&amp;EDATE(A107,1))</f>
        <v>130408.27000000002</v>
      </c>
      <c r="C107" s="14">
        <f t="shared" si="1"/>
        <v>0</v>
      </c>
    </row>
    <row r="108" spans="1:3" ht="15" thickBot="1" x14ac:dyDescent="0.35">
      <c r="A108" s="13">
        <v>45577</v>
      </c>
      <c r="B108">
        <f>SUMIFS(Sheet1!$K:$K,Sheet1!$H:$H,"&gt;="&amp;A108,Sheet1!$H:$H,"&lt;"&amp;EDATE(A108,1))</f>
        <v>130408.27000000002</v>
      </c>
      <c r="C108" s="14">
        <f t="shared" si="1"/>
        <v>-0.19171222806651764</v>
      </c>
    </row>
    <row r="109" spans="1:3" ht="15" thickBot="1" x14ac:dyDescent="0.35">
      <c r="A109" s="13">
        <v>45580</v>
      </c>
      <c r="B109">
        <f>SUMIFS(Sheet1!$K:$K,Sheet1!$H:$H,"&gt;="&amp;A109,Sheet1!$H:$H,"&lt;"&amp;EDATE(A109,1))</f>
        <v>105407.41</v>
      </c>
      <c r="C109" s="14">
        <f t="shared" si="1"/>
        <v>-0.10908047166702985</v>
      </c>
    </row>
    <row r="110" spans="1:3" ht="15" thickBot="1" x14ac:dyDescent="0.35">
      <c r="A110" s="13">
        <v>45581</v>
      </c>
      <c r="B110">
        <f>SUMIFS(Sheet1!$K:$K,Sheet1!$H:$H,"&gt;="&amp;A110,Sheet1!$H:$H,"&lt;"&amp;EDATE(A110,1))</f>
        <v>93909.52</v>
      </c>
      <c r="C110" s="14">
        <f t="shared" si="1"/>
        <v>0</v>
      </c>
    </row>
    <row r="111" spans="1:3" ht="15" thickBot="1" x14ac:dyDescent="0.35">
      <c r="A111" s="13">
        <v>45581</v>
      </c>
      <c r="B111">
        <f>SUMIFS(Sheet1!$K:$K,Sheet1!$H:$H,"&gt;="&amp;A111,Sheet1!$H:$H,"&lt;"&amp;EDATE(A111,1))</f>
        <v>93909.52</v>
      </c>
      <c r="C111" s="14">
        <f t="shared" si="1"/>
        <v>-9.7642603220631854E-2</v>
      </c>
    </row>
    <row r="112" spans="1:3" ht="15" thickBot="1" x14ac:dyDescent="0.35">
      <c r="A112" s="13">
        <v>45582</v>
      </c>
      <c r="B112">
        <f>SUMIFS(Sheet1!$K:$K,Sheet1!$H:$H,"&gt;="&amp;A112,Sheet1!$H:$H,"&lt;"&amp;EDATE(A112,1))</f>
        <v>84739.950000000012</v>
      </c>
      <c r="C112" s="14">
        <f t="shared" si="1"/>
        <v>0.21333161041515825</v>
      </c>
    </row>
    <row r="113" spans="1:3" ht="15" thickBot="1" x14ac:dyDescent="0.35">
      <c r="A113" s="13">
        <v>45584</v>
      </c>
      <c r="B113">
        <f>SUMIFS(Sheet1!$K:$K,Sheet1!$H:$H,"&gt;="&amp;A113,Sheet1!$H:$H,"&lt;"&amp;EDATE(A113,1))</f>
        <v>102817.66</v>
      </c>
      <c r="C113" s="14">
        <f t="shared" si="1"/>
        <v>0</v>
      </c>
    </row>
    <row r="114" spans="1:3" ht="15" thickBot="1" x14ac:dyDescent="0.35">
      <c r="A114" s="13">
        <v>45584</v>
      </c>
      <c r="B114">
        <f>SUMIFS(Sheet1!$K:$K,Sheet1!$H:$H,"&gt;="&amp;A114,Sheet1!$H:$H,"&lt;"&amp;EDATE(A114,1))</f>
        <v>102817.66</v>
      </c>
      <c r="C114" s="14">
        <f t="shared" si="1"/>
        <v>0.24593605806628932</v>
      </c>
    </row>
    <row r="115" spans="1:3" ht="15" thickBot="1" x14ac:dyDescent="0.35">
      <c r="A115" s="13">
        <v>45585</v>
      </c>
      <c r="B115">
        <f>SUMIFS(Sheet1!$K:$K,Sheet1!$H:$H,"&gt;="&amp;A115,Sheet1!$H:$H,"&lt;"&amp;EDATE(A115,1))</f>
        <v>128104.23</v>
      </c>
      <c r="C115" s="14">
        <f t="shared" si="1"/>
        <v>0.20484249427204698</v>
      </c>
    </row>
    <row r="116" spans="1:3" ht="15" thickBot="1" x14ac:dyDescent="0.35">
      <c r="A116" s="13">
        <v>45593</v>
      </c>
      <c r="B116">
        <f>SUMIFS(Sheet1!$K:$K,Sheet1!$H:$H,"&gt;="&amp;A116,Sheet1!$H:$H,"&lt;"&amp;EDATE(A116,1))</f>
        <v>154345.41999999998</v>
      </c>
      <c r="C116" s="14">
        <f t="shared" si="1"/>
        <v>0.11271082744146231</v>
      </c>
    </row>
    <row r="117" spans="1:3" ht="15" thickBot="1" x14ac:dyDescent="0.35">
      <c r="A117" s="13">
        <v>45595</v>
      </c>
      <c r="B117">
        <f>SUMIFS(Sheet1!$K:$K,Sheet1!$H:$H,"&gt;="&amp;A117,Sheet1!$H:$H,"&lt;"&amp;EDATE(A117,1))</f>
        <v>171741.82</v>
      </c>
      <c r="C117" s="14">
        <f t="shared" si="1"/>
        <v>-4.5595883402190403E-2</v>
      </c>
    </row>
    <row r="118" spans="1:3" ht="15" thickBot="1" x14ac:dyDescent="0.35">
      <c r="A118" s="13">
        <v>45597</v>
      </c>
      <c r="B118">
        <f>SUMIFS(Sheet1!$K:$K,Sheet1!$H:$H,"&gt;="&amp;A118,Sheet1!$H:$H,"&lt;"&amp;EDATE(A118,1))</f>
        <v>163911.10000000003</v>
      </c>
      <c r="C118" s="14">
        <f t="shared" si="1"/>
        <v>-3.0482377337471306E-2</v>
      </c>
    </row>
    <row r="119" spans="1:3" ht="15" thickBot="1" x14ac:dyDescent="0.35">
      <c r="A119" s="13">
        <v>45599</v>
      </c>
      <c r="B119">
        <f>SUMIFS(Sheet1!$K:$K,Sheet1!$H:$H,"&gt;="&amp;A119,Sheet1!$H:$H,"&lt;"&amp;EDATE(A119,1))</f>
        <v>158914.70000000004</v>
      </c>
      <c r="C119" s="14">
        <f t="shared" si="1"/>
        <v>-4.2943793116684566E-2</v>
      </c>
    </row>
    <row r="120" spans="1:3" ht="15" thickBot="1" x14ac:dyDescent="0.35">
      <c r="A120" s="13">
        <v>45605</v>
      </c>
      <c r="B120">
        <f>SUMIFS(Sheet1!$K:$K,Sheet1!$H:$H,"&gt;="&amp;A120,Sheet1!$H:$H,"&lt;"&amp;EDATE(A120,1))</f>
        <v>152090.30000000005</v>
      </c>
      <c r="C120" s="14">
        <f t="shared" si="1"/>
        <v>0</v>
      </c>
    </row>
    <row r="121" spans="1:3" ht="15" thickBot="1" x14ac:dyDescent="0.35">
      <c r="A121" s="13">
        <v>45605</v>
      </c>
      <c r="B121">
        <f>SUMIFS(Sheet1!$K:$K,Sheet1!$H:$H,"&gt;="&amp;A121,Sheet1!$H:$H,"&lt;"&amp;EDATE(A121,1))</f>
        <v>152090.30000000005</v>
      </c>
      <c r="C121" s="14">
        <f t="shared" si="1"/>
        <v>-3.8466095470914355E-2</v>
      </c>
    </row>
    <row r="122" spans="1:3" ht="15" thickBot="1" x14ac:dyDescent="0.35">
      <c r="A122" s="13">
        <v>45608</v>
      </c>
      <c r="B122">
        <f>SUMIFS(Sheet1!$K:$K,Sheet1!$H:$H,"&gt;="&amp;A122,Sheet1!$H:$H,"&lt;"&amp;EDATE(A122,1))</f>
        <v>146239.98000000004</v>
      </c>
      <c r="C122" s="14">
        <f t="shared" si="1"/>
        <v>0.34112511503352205</v>
      </c>
    </row>
    <row r="123" spans="1:3" ht="15" thickBot="1" x14ac:dyDescent="0.35">
      <c r="A123" s="13">
        <v>45611</v>
      </c>
      <c r="B123">
        <f>SUMIFS(Sheet1!$K:$K,Sheet1!$H:$H,"&gt;="&amp;A123,Sheet1!$H:$H,"&lt;"&amp;EDATE(A123,1))</f>
        <v>196126.11000000002</v>
      </c>
      <c r="C123" s="14">
        <f t="shared" si="1"/>
        <v>-2.9649545386894263E-2</v>
      </c>
    </row>
    <row r="124" spans="1:3" ht="15" thickBot="1" x14ac:dyDescent="0.35">
      <c r="A124" s="13">
        <v>45612</v>
      </c>
      <c r="B124">
        <f>SUMIFS(Sheet1!$K:$K,Sheet1!$H:$H,"&gt;="&amp;A124,Sheet1!$H:$H,"&lt;"&amp;EDATE(A124,1))</f>
        <v>190311.06</v>
      </c>
      <c r="C124" s="14">
        <f t="shared" si="1"/>
        <v>-5.3310616839610032E-2</v>
      </c>
    </row>
    <row r="125" spans="1:3" ht="15" thickBot="1" x14ac:dyDescent="0.35">
      <c r="A125" s="13">
        <v>45613</v>
      </c>
      <c r="B125">
        <f>SUMIFS(Sheet1!$K:$K,Sheet1!$H:$H,"&gt;="&amp;A125,Sheet1!$H:$H,"&lt;"&amp;EDATE(A125,1))</f>
        <v>180165.45999999996</v>
      </c>
      <c r="C125" s="14">
        <f t="shared" si="1"/>
        <v>0</v>
      </c>
    </row>
    <row r="126" spans="1:3" ht="15" thickBot="1" x14ac:dyDescent="0.35">
      <c r="A126" s="13">
        <v>45613</v>
      </c>
      <c r="B126">
        <f>SUMIFS(Sheet1!$K:$K,Sheet1!$H:$H,"&gt;="&amp;A126,Sheet1!$H:$H,"&lt;"&amp;EDATE(A126,1))</f>
        <v>180165.45999999996</v>
      </c>
      <c r="C126" s="14">
        <f t="shared" si="1"/>
        <v>0</v>
      </c>
    </row>
    <row r="127" spans="1:3" ht="15" thickBot="1" x14ac:dyDescent="0.35">
      <c r="A127" s="13">
        <v>45613</v>
      </c>
      <c r="B127">
        <f>SUMIFS(Sheet1!$K:$K,Sheet1!$H:$H,"&gt;="&amp;A127,Sheet1!$H:$H,"&lt;"&amp;EDATE(A127,1))</f>
        <v>180165.45999999996</v>
      </c>
      <c r="C127" s="14">
        <f t="shared" si="1"/>
        <v>-0.18738658342170583</v>
      </c>
    </row>
    <row r="128" spans="1:3" ht="15" thickBot="1" x14ac:dyDescent="0.35">
      <c r="A128" s="13">
        <v>45615</v>
      </c>
      <c r="B128">
        <f>SUMIFS(Sheet1!$K:$K,Sheet1!$H:$H,"&gt;="&amp;A128,Sheet1!$H:$H,"&lt;"&amp;EDATE(A128,1))</f>
        <v>146404.86999999997</v>
      </c>
      <c r="C128" s="14">
        <f t="shared" si="1"/>
        <v>0</v>
      </c>
    </row>
    <row r="129" spans="1:3" ht="15" thickBot="1" x14ac:dyDescent="0.35">
      <c r="A129" s="13">
        <v>45615</v>
      </c>
      <c r="B129">
        <f>SUMIFS(Sheet1!$K:$K,Sheet1!$H:$H,"&gt;="&amp;A129,Sheet1!$H:$H,"&lt;"&amp;EDATE(A129,1))</f>
        <v>146404.86999999997</v>
      </c>
      <c r="C129" s="14">
        <f t="shared" si="1"/>
        <v>0</v>
      </c>
    </row>
    <row r="130" spans="1:3" ht="15" thickBot="1" x14ac:dyDescent="0.35">
      <c r="A130" s="13">
        <v>45615</v>
      </c>
      <c r="B130">
        <f>SUMIFS(Sheet1!$K:$K,Sheet1!$H:$H,"&gt;="&amp;A130,Sheet1!$H:$H,"&lt;"&amp;EDATE(A130,1))</f>
        <v>146404.86999999997</v>
      </c>
      <c r="C130" s="14">
        <f t="shared" si="1"/>
        <v>-0.26186881624907671</v>
      </c>
    </row>
    <row r="131" spans="1:3" ht="15" thickBot="1" x14ac:dyDescent="0.35">
      <c r="A131" s="13">
        <v>45616</v>
      </c>
      <c r="B131">
        <f>SUMIFS(Sheet1!$K:$K,Sheet1!$H:$H,"&gt;="&amp;A131,Sheet1!$H:$H,"&lt;"&amp;EDATE(A131,1))</f>
        <v>108066.00000000001</v>
      </c>
      <c r="C131" s="14">
        <f t="shared" si="1"/>
        <v>0</v>
      </c>
    </row>
    <row r="132" spans="1:3" ht="15" thickBot="1" x14ac:dyDescent="0.35">
      <c r="A132" s="13">
        <v>45616</v>
      </c>
      <c r="B132">
        <f>SUMIFS(Sheet1!$K:$K,Sheet1!$H:$H,"&gt;="&amp;A132,Sheet1!$H:$H,"&lt;"&amp;EDATE(A132,1))</f>
        <v>108066.00000000001</v>
      </c>
      <c r="C132" s="14">
        <f t="shared" ref="C132:C195" si="2">(B133-B132)/B132</f>
        <v>0.3914159865267518</v>
      </c>
    </row>
    <row r="133" spans="1:3" ht="15" thickBot="1" x14ac:dyDescent="0.35">
      <c r="A133" s="13">
        <v>45622</v>
      </c>
      <c r="B133">
        <f>SUMIFS(Sheet1!$K:$K,Sheet1!$H:$H,"&gt;="&amp;A133,Sheet1!$H:$H,"&lt;"&amp;EDATE(A133,1))</f>
        <v>150364.75999999998</v>
      </c>
      <c r="C133" s="14">
        <f t="shared" si="2"/>
        <v>0</v>
      </c>
    </row>
    <row r="134" spans="1:3" ht="15" thickBot="1" x14ac:dyDescent="0.35">
      <c r="A134" s="13">
        <v>45622</v>
      </c>
      <c r="B134">
        <f>SUMIFS(Sheet1!$K:$K,Sheet1!$H:$H,"&gt;="&amp;A134,Sheet1!$H:$H,"&lt;"&amp;EDATE(A134,1))</f>
        <v>150364.75999999998</v>
      </c>
      <c r="C134" s="14">
        <f t="shared" si="2"/>
        <v>-0.10662817537832647</v>
      </c>
    </row>
    <row r="135" spans="1:3" ht="15" thickBot="1" x14ac:dyDescent="0.35">
      <c r="A135" s="13">
        <v>45624</v>
      </c>
      <c r="B135">
        <f>SUMIFS(Sheet1!$K:$K,Sheet1!$H:$H,"&gt;="&amp;A135,Sheet1!$H:$H,"&lt;"&amp;EDATE(A135,1))</f>
        <v>134331.64000000001</v>
      </c>
      <c r="C135" s="14">
        <f t="shared" si="2"/>
        <v>-7.8986603602845019E-3</v>
      </c>
    </row>
    <row r="136" spans="1:3" ht="15" thickBot="1" x14ac:dyDescent="0.35">
      <c r="A136" s="13">
        <v>45625</v>
      </c>
      <c r="B136">
        <f>SUMIFS(Sheet1!$K:$K,Sheet1!$H:$H,"&gt;="&amp;A136,Sheet1!$H:$H,"&lt;"&amp;EDATE(A136,1))</f>
        <v>133270.6</v>
      </c>
      <c r="C136" s="14">
        <f t="shared" si="2"/>
        <v>-0.12753337945503368</v>
      </c>
    </row>
    <row r="137" spans="1:3" ht="15" thickBot="1" x14ac:dyDescent="0.35">
      <c r="A137" s="13">
        <v>45626</v>
      </c>
      <c r="B137">
        <f>SUMIFS(Sheet1!$K:$K,Sheet1!$H:$H,"&gt;="&amp;A137,Sheet1!$H:$H,"&lt;"&amp;EDATE(A137,1))</f>
        <v>116274.15</v>
      </c>
      <c r="C137" s="14">
        <f t="shared" si="2"/>
        <v>0.44527910975913404</v>
      </c>
    </row>
    <row r="138" spans="1:3" ht="15" thickBot="1" x14ac:dyDescent="0.35">
      <c r="A138" s="13">
        <v>45630</v>
      </c>
      <c r="B138">
        <f>SUMIFS(Sheet1!$K:$K,Sheet1!$H:$H,"&gt;="&amp;A138,Sheet1!$H:$H,"&lt;"&amp;EDATE(A138,1))</f>
        <v>168048.6</v>
      </c>
      <c r="C138" s="14">
        <f t="shared" si="2"/>
        <v>-1.9522685699256102E-2</v>
      </c>
    </row>
    <row r="139" spans="1:3" ht="15" thickBot="1" x14ac:dyDescent="0.35">
      <c r="A139" s="13">
        <v>45631</v>
      </c>
      <c r="B139">
        <f>SUMIFS(Sheet1!$K:$K,Sheet1!$H:$H,"&gt;="&amp;A139,Sheet1!$H:$H,"&lt;"&amp;EDATE(A139,1))</f>
        <v>164767.84</v>
      </c>
      <c r="C139" s="14">
        <f t="shared" si="2"/>
        <v>0.20439619770460069</v>
      </c>
    </row>
    <row r="140" spans="1:3" ht="15" thickBot="1" x14ac:dyDescent="0.35">
      <c r="A140" s="13">
        <v>45638</v>
      </c>
      <c r="B140">
        <f>SUMIFS(Sheet1!$K:$K,Sheet1!$H:$H,"&gt;="&amp;A140,Sheet1!$H:$H,"&lt;"&amp;EDATE(A140,1))</f>
        <v>198445.76</v>
      </c>
      <c r="C140" s="14">
        <f t="shared" si="2"/>
        <v>2.3641926136391191E-2</v>
      </c>
    </row>
    <row r="141" spans="1:3" ht="15" thickBot="1" x14ac:dyDescent="0.35">
      <c r="A141" s="13">
        <v>45640</v>
      </c>
      <c r="B141">
        <f>SUMIFS(Sheet1!$K:$K,Sheet1!$H:$H,"&gt;="&amp;A141,Sheet1!$H:$H,"&lt;"&amp;EDATE(A141,1))</f>
        <v>203137.40000000002</v>
      </c>
      <c r="C141" s="14">
        <f t="shared" si="2"/>
        <v>0</v>
      </c>
    </row>
    <row r="142" spans="1:3" ht="15" thickBot="1" x14ac:dyDescent="0.35">
      <c r="A142" s="13">
        <v>45640</v>
      </c>
      <c r="B142">
        <f>SUMIFS(Sheet1!$K:$K,Sheet1!$H:$H,"&gt;="&amp;A142,Sheet1!$H:$H,"&lt;"&amp;EDATE(A142,1))</f>
        <v>203137.40000000002</v>
      </c>
      <c r="C142" s="14">
        <f t="shared" si="2"/>
        <v>-8.2553581959796812E-2</v>
      </c>
    </row>
    <row r="143" spans="1:3" ht="15" thickBot="1" x14ac:dyDescent="0.35">
      <c r="A143" s="13">
        <v>45646</v>
      </c>
      <c r="B143">
        <f>SUMIFS(Sheet1!$K:$K,Sheet1!$H:$H,"&gt;="&amp;A143,Sheet1!$H:$H,"&lt;"&amp;EDATE(A143,1))</f>
        <v>186367.68</v>
      </c>
      <c r="C143" s="14">
        <f t="shared" si="2"/>
        <v>4.5019071976428564E-2</v>
      </c>
    </row>
    <row r="144" spans="1:3" ht="15" thickBot="1" x14ac:dyDescent="0.35">
      <c r="A144" s="13">
        <v>45647</v>
      </c>
      <c r="B144">
        <f>SUMIFS(Sheet1!$K:$K,Sheet1!$H:$H,"&gt;="&amp;A144,Sheet1!$H:$H,"&lt;"&amp;EDATE(A144,1))</f>
        <v>194757.78</v>
      </c>
      <c r="C144" s="14">
        <f t="shared" si="2"/>
        <v>-7.7145518910720801E-2</v>
      </c>
    </row>
    <row r="145" spans="1:3" ht="15" thickBot="1" x14ac:dyDescent="0.35">
      <c r="A145" s="13">
        <v>45650</v>
      </c>
      <c r="B145">
        <f>SUMIFS(Sheet1!$K:$K,Sheet1!$H:$H,"&gt;="&amp;A145,Sheet1!$H:$H,"&lt;"&amp;EDATE(A145,1))</f>
        <v>179733.09</v>
      </c>
      <c r="C145" s="14">
        <f t="shared" si="2"/>
        <v>-3.4560580914733026E-2</v>
      </c>
    </row>
    <row r="146" spans="1:3" ht="15" thickBot="1" x14ac:dyDescent="0.35">
      <c r="A146" s="13">
        <v>45651</v>
      </c>
      <c r="B146">
        <f>SUMIFS(Sheet1!$K:$K,Sheet1!$H:$H,"&gt;="&amp;A146,Sheet1!$H:$H,"&lt;"&amp;EDATE(A146,1))</f>
        <v>173521.41</v>
      </c>
      <c r="C146" s="14">
        <f t="shared" si="2"/>
        <v>0</v>
      </c>
    </row>
    <row r="147" spans="1:3" ht="15" thickBot="1" x14ac:dyDescent="0.35">
      <c r="A147" s="13">
        <v>45651</v>
      </c>
      <c r="B147">
        <f>SUMIFS(Sheet1!$K:$K,Sheet1!$H:$H,"&gt;="&amp;A147,Sheet1!$H:$H,"&lt;"&amp;EDATE(A147,1))</f>
        <v>173521.41</v>
      </c>
      <c r="C147" s="14">
        <f t="shared" si="2"/>
        <v>-2.2852396139473367E-2</v>
      </c>
    </row>
    <row r="148" spans="1:3" ht="15" thickBot="1" x14ac:dyDescent="0.35">
      <c r="A148" s="13">
        <v>45656</v>
      </c>
      <c r="B148">
        <f>SUMIFS(Sheet1!$K:$K,Sheet1!$H:$H,"&gt;="&amp;A148,Sheet1!$H:$H,"&lt;"&amp;EDATE(A148,1))</f>
        <v>169556.03000000003</v>
      </c>
      <c r="C148" s="14">
        <f t="shared" si="2"/>
        <v>-0.11178051290773926</v>
      </c>
    </row>
    <row r="149" spans="1:3" ht="15" thickBot="1" x14ac:dyDescent="0.35">
      <c r="A149" s="13">
        <v>45658</v>
      </c>
      <c r="B149">
        <f>SUMIFS(Sheet1!$K:$K,Sheet1!$H:$H,"&gt;="&amp;A149,Sheet1!$H:$H,"&lt;"&amp;EDATE(A149,1))</f>
        <v>150602.97</v>
      </c>
      <c r="C149" s="14">
        <f t="shared" si="2"/>
        <v>0</v>
      </c>
    </row>
    <row r="150" spans="1:3" ht="15" thickBot="1" x14ac:dyDescent="0.35">
      <c r="A150" s="13">
        <v>45658</v>
      </c>
      <c r="B150">
        <f>SUMIFS(Sheet1!$K:$K,Sheet1!$H:$H,"&gt;="&amp;A150,Sheet1!$H:$H,"&lt;"&amp;EDATE(A150,1))</f>
        <v>150602.97</v>
      </c>
      <c r="C150" s="14">
        <f t="shared" si="2"/>
        <v>-5.0451395480447726E-2</v>
      </c>
    </row>
    <row r="151" spans="1:3" ht="15" thickBot="1" x14ac:dyDescent="0.35">
      <c r="A151" s="13">
        <v>45659</v>
      </c>
      <c r="B151">
        <f>SUMIFS(Sheet1!$K:$K,Sheet1!$H:$H,"&gt;="&amp;A151,Sheet1!$H:$H,"&lt;"&amp;EDATE(A151,1))</f>
        <v>143004.84</v>
      </c>
      <c r="C151" s="14">
        <f t="shared" si="2"/>
        <v>-7.2539083292565504E-2</v>
      </c>
    </row>
    <row r="152" spans="1:3" ht="15" thickBot="1" x14ac:dyDescent="0.35">
      <c r="A152" s="13">
        <v>45660</v>
      </c>
      <c r="B152">
        <f>SUMIFS(Sheet1!$K:$K,Sheet1!$H:$H,"&gt;="&amp;A152,Sheet1!$H:$H,"&lt;"&amp;EDATE(A152,1))</f>
        <v>132631.4</v>
      </c>
      <c r="C152" s="14">
        <f t="shared" si="2"/>
        <v>0</v>
      </c>
    </row>
    <row r="153" spans="1:3" ht="15" thickBot="1" x14ac:dyDescent="0.35">
      <c r="A153" s="13">
        <v>45660</v>
      </c>
      <c r="B153">
        <f>SUMIFS(Sheet1!$K:$K,Sheet1!$H:$H,"&gt;="&amp;A153,Sheet1!$H:$H,"&lt;"&amp;EDATE(A153,1))</f>
        <v>132631.4</v>
      </c>
      <c r="C153" s="14">
        <f t="shared" si="2"/>
        <v>2.9192333037274566E-2</v>
      </c>
    </row>
    <row r="154" spans="1:3" ht="15" thickBot="1" x14ac:dyDescent="0.35">
      <c r="A154" s="13">
        <v>45663</v>
      </c>
      <c r="B154">
        <f>SUMIFS(Sheet1!$K:$K,Sheet1!$H:$H,"&gt;="&amp;A154,Sheet1!$H:$H,"&lt;"&amp;EDATE(A154,1))</f>
        <v>136503.21999999997</v>
      </c>
      <c r="C154" s="14">
        <f t="shared" si="2"/>
        <v>-2.6734460916013537E-2</v>
      </c>
    </row>
    <row r="155" spans="1:3" ht="15" thickBot="1" x14ac:dyDescent="0.35">
      <c r="A155" s="13">
        <v>45667</v>
      </c>
      <c r="B155">
        <f>SUMIFS(Sheet1!$K:$K,Sheet1!$H:$H,"&gt;="&amp;A155,Sheet1!$H:$H,"&lt;"&amp;EDATE(A155,1))</f>
        <v>132853.87999999998</v>
      </c>
      <c r="C155" s="14">
        <f t="shared" si="2"/>
        <v>-0.10827579894542778</v>
      </c>
    </row>
    <row r="156" spans="1:3" ht="15" thickBot="1" x14ac:dyDescent="0.35">
      <c r="A156" s="13">
        <v>45669</v>
      </c>
      <c r="B156">
        <f>SUMIFS(Sheet1!$K:$K,Sheet1!$H:$H,"&gt;="&amp;A156,Sheet1!$H:$H,"&lt;"&amp;EDATE(A156,1))</f>
        <v>118469.01999999999</v>
      </c>
      <c r="C156" s="14">
        <f t="shared" si="2"/>
        <v>-9.7917244525193209E-2</v>
      </c>
    </row>
    <row r="157" spans="1:3" ht="15" thickBot="1" x14ac:dyDescent="0.35">
      <c r="A157" s="13">
        <v>45670</v>
      </c>
      <c r="B157">
        <f>SUMIFS(Sheet1!$K:$K,Sheet1!$H:$H,"&gt;="&amp;A157,Sheet1!$H:$H,"&lt;"&amp;EDATE(A157,1))</f>
        <v>106868.85999999999</v>
      </c>
      <c r="C157" s="14">
        <f t="shared" si="2"/>
        <v>2.3271793111669888E-2</v>
      </c>
    </row>
    <row r="158" spans="1:3" ht="15" thickBot="1" x14ac:dyDescent="0.35">
      <c r="A158" s="13">
        <v>45673</v>
      </c>
      <c r="B158">
        <f>SUMIFS(Sheet1!$K:$K,Sheet1!$H:$H,"&gt;="&amp;A158,Sheet1!$H:$H,"&lt;"&amp;EDATE(A158,1))</f>
        <v>109355.89</v>
      </c>
      <c r="C158" s="14">
        <f t="shared" si="2"/>
        <v>-3.1255106606511943E-2</v>
      </c>
    </row>
    <row r="159" spans="1:3" ht="15" thickBot="1" x14ac:dyDescent="0.35">
      <c r="A159" s="13">
        <v>45674</v>
      </c>
      <c r="B159">
        <f>SUMIFS(Sheet1!$K:$K,Sheet1!$H:$H,"&gt;="&amp;A159,Sheet1!$H:$H,"&lt;"&amp;EDATE(A159,1))</f>
        <v>105937.96</v>
      </c>
      <c r="C159" s="14">
        <f t="shared" si="2"/>
        <v>0</v>
      </c>
    </row>
    <row r="160" spans="1:3" ht="15" thickBot="1" x14ac:dyDescent="0.35">
      <c r="A160" s="13">
        <v>45674</v>
      </c>
      <c r="B160">
        <f>SUMIFS(Sheet1!$K:$K,Sheet1!$H:$H,"&gt;="&amp;A160,Sheet1!$H:$H,"&lt;"&amp;EDATE(A160,1))</f>
        <v>105937.96</v>
      </c>
      <c r="C160" s="14">
        <f t="shared" si="2"/>
        <v>0</v>
      </c>
    </row>
    <row r="161" spans="1:3" ht="15" thickBot="1" x14ac:dyDescent="0.35">
      <c r="A161" s="13">
        <v>45674</v>
      </c>
      <c r="B161">
        <f>SUMIFS(Sheet1!$K:$K,Sheet1!$H:$H,"&gt;="&amp;A161,Sheet1!$H:$H,"&lt;"&amp;EDATE(A161,1))</f>
        <v>105937.96</v>
      </c>
      <c r="C161" s="14">
        <f t="shared" si="2"/>
        <v>1.3014881540101296E-2</v>
      </c>
    </row>
    <row r="162" spans="1:3" ht="15" thickBot="1" x14ac:dyDescent="0.35">
      <c r="A162" s="13">
        <v>45677</v>
      </c>
      <c r="B162">
        <f>SUMIFS(Sheet1!$K:$K,Sheet1!$H:$H,"&gt;="&amp;A162,Sheet1!$H:$H,"&lt;"&amp;EDATE(A162,1))</f>
        <v>107316.73</v>
      </c>
      <c r="C162" s="14">
        <f t="shared" si="2"/>
        <v>-0.15265131541000174</v>
      </c>
    </row>
    <row r="163" spans="1:3" ht="15" thickBot="1" x14ac:dyDescent="0.35">
      <c r="A163" s="13">
        <v>45678</v>
      </c>
      <c r="B163">
        <f>SUMIFS(Sheet1!$K:$K,Sheet1!$H:$H,"&gt;="&amp;A163,Sheet1!$H:$H,"&lt;"&amp;EDATE(A163,1))</f>
        <v>90934.69</v>
      </c>
      <c r="C163" s="14">
        <f t="shared" si="2"/>
        <v>0.30070284508585221</v>
      </c>
    </row>
    <row r="164" spans="1:3" ht="15" thickBot="1" x14ac:dyDescent="0.35">
      <c r="A164" s="13">
        <v>45684</v>
      </c>
      <c r="B164">
        <f>SUMIFS(Sheet1!$K:$K,Sheet1!$H:$H,"&gt;="&amp;A164,Sheet1!$H:$H,"&lt;"&amp;EDATE(A164,1))</f>
        <v>118279.01</v>
      </c>
      <c r="C164" s="14">
        <f t="shared" si="2"/>
        <v>0.11088679217047896</v>
      </c>
    </row>
    <row r="165" spans="1:3" ht="15" thickBot="1" x14ac:dyDescent="0.35">
      <c r="A165" s="13">
        <v>45690</v>
      </c>
      <c r="B165">
        <f>SUMIFS(Sheet1!$K:$K,Sheet1!$H:$H,"&gt;="&amp;A165,Sheet1!$H:$H,"&lt;"&amp;EDATE(A165,1))</f>
        <v>131394.59</v>
      </c>
      <c r="C165" s="14">
        <f t="shared" si="2"/>
        <v>7.9778018257830839E-3</v>
      </c>
    </row>
    <row r="166" spans="1:3" ht="15" thickBot="1" x14ac:dyDescent="0.35">
      <c r="A166" s="13">
        <v>45692</v>
      </c>
      <c r="B166">
        <f>SUMIFS(Sheet1!$K:$K,Sheet1!$H:$H,"&gt;="&amp;A166,Sheet1!$H:$H,"&lt;"&amp;EDATE(A166,1))</f>
        <v>132442.83000000002</v>
      </c>
      <c r="C166" s="14">
        <f t="shared" si="2"/>
        <v>-7.4618761921653398E-2</v>
      </c>
    </row>
    <row r="167" spans="1:3" ht="15" thickBot="1" x14ac:dyDescent="0.35">
      <c r="A167" s="13">
        <v>45693</v>
      </c>
      <c r="B167">
        <f>SUMIFS(Sheet1!$K:$K,Sheet1!$H:$H,"&gt;="&amp;A167,Sheet1!$H:$H,"&lt;"&amp;EDATE(A167,1))</f>
        <v>122560.11</v>
      </c>
      <c r="C167" s="14">
        <f t="shared" si="2"/>
        <v>-8.6969569462687748E-4</v>
      </c>
    </row>
    <row r="168" spans="1:3" ht="15" thickBot="1" x14ac:dyDescent="0.35">
      <c r="A168" s="13">
        <v>45695</v>
      </c>
      <c r="B168">
        <f>SUMIFS(Sheet1!$K:$K,Sheet1!$H:$H,"&gt;="&amp;A168,Sheet1!$H:$H,"&lt;"&amp;EDATE(A168,1))</f>
        <v>122453.52</v>
      </c>
      <c r="C168" s="14">
        <f t="shared" si="2"/>
        <v>0.12064201992723438</v>
      </c>
    </row>
    <row r="169" spans="1:3" ht="15" thickBot="1" x14ac:dyDescent="0.35">
      <c r="A169" s="13">
        <v>45698</v>
      </c>
      <c r="B169">
        <f>SUMIFS(Sheet1!$K:$K,Sheet1!$H:$H,"&gt;="&amp;A169,Sheet1!$H:$H,"&lt;"&amp;EDATE(A169,1))</f>
        <v>137226.56</v>
      </c>
      <c r="C169" s="14">
        <f t="shared" si="2"/>
        <v>1.2826088477332576E-2</v>
      </c>
    </row>
    <row r="170" spans="1:3" ht="15" thickBot="1" x14ac:dyDescent="0.35">
      <c r="A170" s="13">
        <v>45703</v>
      </c>
      <c r="B170">
        <f>SUMIFS(Sheet1!$K:$K,Sheet1!$H:$H,"&gt;="&amp;A170,Sheet1!$H:$H,"&lt;"&amp;EDATE(A170,1))</f>
        <v>138986.63999999998</v>
      </c>
      <c r="C170" s="14">
        <f t="shared" si="2"/>
        <v>-7.8375015037416354E-2</v>
      </c>
    </row>
    <row r="171" spans="1:3" ht="15" thickBot="1" x14ac:dyDescent="0.35">
      <c r="A171" s="13">
        <v>45705</v>
      </c>
      <c r="B171">
        <f>SUMIFS(Sheet1!$K:$K,Sheet1!$H:$H,"&gt;="&amp;A171,Sheet1!$H:$H,"&lt;"&amp;EDATE(A171,1))</f>
        <v>128093.56000000001</v>
      </c>
      <c r="C171" s="14">
        <f t="shared" si="2"/>
        <v>0.19562857024193872</v>
      </c>
    </row>
    <row r="172" spans="1:3" ht="15" thickBot="1" x14ac:dyDescent="0.35">
      <c r="A172" s="13">
        <v>45707</v>
      </c>
      <c r="B172">
        <f>SUMIFS(Sheet1!$K:$K,Sheet1!$H:$H,"&gt;="&amp;A172,Sheet1!$H:$H,"&lt;"&amp;EDATE(A172,1))</f>
        <v>153152.32000000001</v>
      </c>
      <c r="C172" s="14">
        <f t="shared" si="2"/>
        <v>-2.2091470765836167E-2</v>
      </c>
    </row>
    <row r="173" spans="1:3" ht="15" thickBot="1" x14ac:dyDescent="0.35">
      <c r="A173" s="13">
        <v>45708</v>
      </c>
      <c r="B173">
        <f>SUMIFS(Sheet1!$K:$K,Sheet1!$H:$H,"&gt;="&amp;A173,Sheet1!$H:$H,"&lt;"&amp;EDATE(A173,1))</f>
        <v>149768.96000000002</v>
      </c>
      <c r="C173" s="14">
        <f t="shared" si="2"/>
        <v>2.0801840381344711E-2</v>
      </c>
    </row>
    <row r="174" spans="1:3" ht="15" thickBot="1" x14ac:dyDescent="0.35">
      <c r="A174" s="13">
        <v>45709</v>
      </c>
      <c r="B174">
        <f>SUMIFS(Sheet1!$K:$K,Sheet1!$H:$H,"&gt;="&amp;A174,Sheet1!$H:$H,"&lt;"&amp;EDATE(A174,1))</f>
        <v>152884.43000000002</v>
      </c>
      <c r="C174" s="14">
        <f t="shared" si="2"/>
        <v>-1.1102634846465481E-2</v>
      </c>
    </row>
    <row r="175" spans="1:3" ht="15" thickBot="1" x14ac:dyDescent="0.35">
      <c r="A175" s="13">
        <v>45712</v>
      </c>
      <c r="B175">
        <f>SUMIFS(Sheet1!$K:$K,Sheet1!$H:$H,"&gt;="&amp;A175,Sheet1!$H:$H,"&lt;"&amp;EDATE(A175,1))</f>
        <v>151187.01</v>
      </c>
      <c r="C175" s="14">
        <f t="shared" si="2"/>
        <v>0</v>
      </c>
    </row>
    <row r="176" spans="1:3" ht="15" thickBot="1" x14ac:dyDescent="0.35">
      <c r="A176" s="13">
        <v>45712</v>
      </c>
      <c r="B176">
        <f>SUMIFS(Sheet1!$K:$K,Sheet1!$H:$H,"&gt;="&amp;A176,Sheet1!$H:$H,"&lt;"&amp;EDATE(A176,1))</f>
        <v>151187.01</v>
      </c>
      <c r="C176" s="14">
        <f t="shared" si="2"/>
        <v>-0.19831624423288732</v>
      </c>
    </row>
    <row r="177" spans="1:3" ht="15" thickBot="1" x14ac:dyDescent="0.35">
      <c r="A177" s="13">
        <v>45713</v>
      </c>
      <c r="B177">
        <f>SUMIFS(Sheet1!$K:$K,Sheet1!$H:$H,"&gt;="&amp;A177,Sheet1!$H:$H,"&lt;"&amp;EDATE(A177,1))</f>
        <v>121204.17000000003</v>
      </c>
      <c r="C177" s="14">
        <f t="shared" si="2"/>
        <v>0.14748659225173524</v>
      </c>
    </row>
    <row r="178" spans="1:3" ht="15" thickBot="1" x14ac:dyDescent="0.35">
      <c r="A178" s="13">
        <v>45715</v>
      </c>
      <c r="B178">
        <f>SUMIFS(Sheet1!$K:$K,Sheet1!$H:$H,"&gt;="&amp;A178,Sheet1!$H:$H,"&lt;"&amp;EDATE(A178,1))</f>
        <v>139080.16000000003</v>
      </c>
      <c r="C178" s="14">
        <f t="shared" si="2"/>
        <v>0.4145988903090127</v>
      </c>
    </row>
    <row r="179" spans="1:3" ht="15" thickBot="1" x14ac:dyDescent="0.35">
      <c r="A179" s="13">
        <v>45717</v>
      </c>
      <c r="B179">
        <f>SUMIFS(Sheet1!$K:$K,Sheet1!$H:$H,"&gt;="&amp;A179,Sheet1!$H:$H,"&lt;"&amp;EDATE(A179,1))</f>
        <v>196742.63999999998</v>
      </c>
      <c r="C179" s="14">
        <f t="shared" si="2"/>
        <v>-4.1566180061424395E-2</v>
      </c>
    </row>
    <row r="180" spans="1:3" ht="15" thickBot="1" x14ac:dyDescent="0.35">
      <c r="A180" s="13">
        <v>45718</v>
      </c>
      <c r="B180">
        <f>SUMIFS(Sheet1!$K:$K,Sheet1!$H:$H,"&gt;="&amp;A180,Sheet1!$H:$H,"&lt;"&amp;EDATE(A180,1))</f>
        <v>188564.8</v>
      </c>
      <c r="C180" s="14">
        <f t="shared" si="2"/>
        <v>-2.3205497526579674E-2</v>
      </c>
    </row>
    <row r="181" spans="1:3" ht="15" thickBot="1" x14ac:dyDescent="0.35">
      <c r="A181" s="13">
        <v>45721</v>
      </c>
      <c r="B181">
        <f>SUMIFS(Sheet1!$K:$K,Sheet1!$H:$H,"&gt;="&amp;A181,Sheet1!$H:$H,"&lt;"&amp;EDATE(A181,1))</f>
        <v>184189.06</v>
      </c>
      <c r="C181" s="14">
        <f t="shared" si="2"/>
        <v>6.2811548090858441E-2</v>
      </c>
    </row>
    <row r="182" spans="1:3" ht="15" thickBot="1" x14ac:dyDescent="0.35">
      <c r="A182" s="13">
        <v>45724</v>
      </c>
      <c r="B182">
        <f>SUMIFS(Sheet1!$K:$K,Sheet1!$H:$H,"&gt;="&amp;A182,Sheet1!$H:$H,"&lt;"&amp;EDATE(A182,1))</f>
        <v>195758.26</v>
      </c>
      <c r="C182" s="14">
        <f t="shared" si="2"/>
        <v>-3.8249726984700472E-2</v>
      </c>
    </row>
    <row r="183" spans="1:3" ht="15" thickBot="1" x14ac:dyDescent="0.35">
      <c r="A183" s="13">
        <v>45725</v>
      </c>
      <c r="B183">
        <f>SUMIFS(Sheet1!$K:$K,Sheet1!$H:$H,"&gt;="&amp;A183,Sheet1!$H:$H,"&lt;"&amp;EDATE(A183,1))</f>
        <v>188270.56</v>
      </c>
      <c r="C183" s="14">
        <f t="shared" si="2"/>
        <v>-0.10174410699155505</v>
      </c>
    </row>
    <row r="184" spans="1:3" ht="15" thickBot="1" x14ac:dyDescent="0.35">
      <c r="A184" s="13">
        <v>45726</v>
      </c>
      <c r="B184">
        <f>SUMIFS(Sheet1!$K:$K,Sheet1!$H:$H,"&gt;="&amp;A184,Sheet1!$H:$H,"&lt;"&amp;EDATE(A184,1))</f>
        <v>169115.14</v>
      </c>
      <c r="C184" s="14">
        <f t="shared" si="2"/>
        <v>-4.6700017514694381E-2</v>
      </c>
    </row>
    <row r="185" spans="1:3" ht="15" thickBot="1" x14ac:dyDescent="0.35">
      <c r="A185" s="13">
        <v>45727</v>
      </c>
      <c r="B185">
        <f>SUMIFS(Sheet1!$K:$K,Sheet1!$H:$H,"&gt;="&amp;A185,Sheet1!$H:$H,"&lt;"&amp;EDATE(A185,1))</f>
        <v>161217.46000000002</v>
      </c>
      <c r="C185" s="14">
        <f t="shared" si="2"/>
        <v>-1.0730599526875195E-2</v>
      </c>
    </row>
    <row r="186" spans="1:3" ht="15" thickBot="1" x14ac:dyDescent="0.35">
      <c r="A186" s="13">
        <v>45733</v>
      </c>
      <c r="B186">
        <f>SUMIFS(Sheet1!$K:$K,Sheet1!$H:$H,"&gt;="&amp;A186,Sheet1!$H:$H,"&lt;"&amp;EDATE(A186,1))</f>
        <v>159487.5</v>
      </c>
      <c r="C186" s="14">
        <f t="shared" si="2"/>
        <v>-8.6458311779919986E-2</v>
      </c>
    </row>
    <row r="187" spans="1:3" ht="15" thickBot="1" x14ac:dyDescent="0.35">
      <c r="A187" s="13">
        <v>45734</v>
      </c>
      <c r="B187">
        <f>SUMIFS(Sheet1!$K:$K,Sheet1!$H:$H,"&gt;="&amp;A187,Sheet1!$H:$H,"&lt;"&amp;EDATE(A187,1))</f>
        <v>145698.48000000001</v>
      </c>
      <c r="C187" s="14">
        <f t="shared" si="2"/>
        <v>-0.18450995507983339</v>
      </c>
    </row>
    <row r="188" spans="1:3" ht="15" thickBot="1" x14ac:dyDescent="0.35">
      <c r="A188" s="13">
        <v>45736</v>
      </c>
      <c r="B188">
        <f>SUMIFS(Sheet1!$K:$K,Sheet1!$H:$H,"&gt;="&amp;A188,Sheet1!$H:$H,"&lt;"&amp;EDATE(A188,1))</f>
        <v>118815.66</v>
      </c>
      <c r="C188" s="14">
        <f t="shared" si="2"/>
        <v>-5.2222661558249096E-2</v>
      </c>
    </row>
    <row r="189" spans="1:3" ht="15" thickBot="1" x14ac:dyDescent="0.35">
      <c r="A189" s="13">
        <v>45738</v>
      </c>
      <c r="B189">
        <f>SUMIFS(Sheet1!$K:$K,Sheet1!$H:$H,"&gt;="&amp;A189,Sheet1!$H:$H,"&lt;"&amp;EDATE(A189,1))</f>
        <v>112610.79000000001</v>
      </c>
      <c r="C189" s="14">
        <f t="shared" si="2"/>
        <v>-6.0583892538184411E-3</v>
      </c>
    </row>
    <row r="190" spans="1:3" ht="15" thickBot="1" x14ac:dyDescent="0.35">
      <c r="A190" s="13">
        <v>45741</v>
      </c>
      <c r="B190">
        <f>SUMIFS(Sheet1!$K:$K,Sheet1!$H:$H,"&gt;="&amp;A190,Sheet1!$H:$H,"&lt;"&amp;EDATE(A190,1))</f>
        <v>111928.55</v>
      </c>
      <c r="C190" s="14">
        <f t="shared" si="2"/>
        <v>-6.1450809467289542E-2</v>
      </c>
    </row>
    <row r="191" spans="1:3" ht="15" thickBot="1" x14ac:dyDescent="0.35">
      <c r="A191" s="13">
        <v>45742</v>
      </c>
      <c r="B191">
        <f>SUMIFS(Sheet1!$K:$K,Sheet1!$H:$H,"&gt;="&amp;A191,Sheet1!$H:$H,"&lt;"&amp;EDATE(A191,1))</f>
        <v>105050.45000000001</v>
      </c>
      <c r="C191" s="14">
        <f t="shared" si="2"/>
        <v>-0.12400470440631144</v>
      </c>
    </row>
    <row r="192" spans="1:3" ht="15" thickBot="1" x14ac:dyDescent="0.35">
      <c r="A192" s="13">
        <v>45743</v>
      </c>
      <c r="B192">
        <f>SUMIFS(Sheet1!$K:$K,Sheet1!$H:$H,"&gt;="&amp;A192,Sheet1!$H:$H,"&lt;"&amp;EDATE(A192,1))</f>
        <v>92023.700000000012</v>
      </c>
      <c r="C192" s="14">
        <f t="shared" si="2"/>
        <v>0</v>
      </c>
    </row>
    <row r="193" spans="1:3" ht="15" thickBot="1" x14ac:dyDescent="0.35">
      <c r="A193" s="13">
        <v>45743</v>
      </c>
      <c r="B193">
        <f>SUMIFS(Sheet1!$K:$K,Sheet1!$H:$H,"&gt;="&amp;A193,Sheet1!$H:$H,"&lt;"&amp;EDATE(A193,1))</f>
        <v>92023.700000000012</v>
      </c>
      <c r="C193" s="14">
        <f t="shared" si="2"/>
        <v>-0.15611587015084155</v>
      </c>
    </row>
    <row r="194" spans="1:3" ht="15" thickBot="1" x14ac:dyDescent="0.35">
      <c r="A194" s="13">
        <v>45745</v>
      </c>
      <c r="B194">
        <f>SUMIFS(Sheet1!$K:$K,Sheet1!$H:$H,"&gt;="&amp;A194,Sheet1!$H:$H,"&lt;"&amp;EDATE(A194,1))</f>
        <v>77657.340000000011</v>
      </c>
      <c r="C194" s="14">
        <f t="shared" si="2"/>
        <v>0</v>
      </c>
    </row>
    <row r="195" spans="1:3" ht="15" thickBot="1" x14ac:dyDescent="0.35">
      <c r="A195" s="13">
        <v>45745</v>
      </c>
      <c r="B195">
        <f>SUMIFS(Sheet1!$K:$K,Sheet1!$H:$H,"&gt;="&amp;A195,Sheet1!$H:$H,"&lt;"&amp;EDATE(A195,1))</f>
        <v>77657.340000000011</v>
      </c>
      <c r="C195" s="14">
        <f t="shared" si="2"/>
        <v>-0.50200818106826739</v>
      </c>
    </row>
    <row r="196" spans="1:3" ht="15" thickBot="1" x14ac:dyDescent="0.35">
      <c r="A196" s="13">
        <v>45746</v>
      </c>
      <c r="B196">
        <f>SUMIFS(Sheet1!$K:$K,Sheet1!$H:$H,"&gt;="&amp;A196,Sheet1!$H:$H,"&lt;"&amp;EDATE(A196,1))</f>
        <v>38672.720000000001</v>
      </c>
      <c r="C196" s="14">
        <f t="shared" ref="C196:C200" si="3">(B197-B196)/B196</f>
        <v>0</v>
      </c>
    </row>
    <row r="197" spans="1:3" ht="15" thickBot="1" x14ac:dyDescent="0.35">
      <c r="A197" s="13">
        <v>45746</v>
      </c>
      <c r="B197">
        <f>SUMIFS(Sheet1!$K:$K,Sheet1!$H:$H,"&gt;="&amp;A197,Sheet1!$H:$H,"&lt;"&amp;EDATE(A197,1))</f>
        <v>38672.720000000001</v>
      </c>
      <c r="C197" s="14">
        <f t="shared" si="3"/>
        <v>-0.4963953918938207</v>
      </c>
    </row>
    <row r="198" spans="1:3" ht="15" thickBot="1" x14ac:dyDescent="0.35">
      <c r="A198" s="13">
        <v>45749</v>
      </c>
      <c r="B198">
        <f>SUMIFS(Sheet1!$K:$K,Sheet1!$H:$H,"&gt;="&amp;A198,Sheet1!$H:$H,"&lt;"&amp;EDATE(A198,1))</f>
        <v>19475.760000000002</v>
      </c>
      <c r="C198" s="14">
        <f t="shared" si="3"/>
        <v>-0.11411107961897257</v>
      </c>
    </row>
    <row r="199" spans="1:3" ht="15" thickBot="1" x14ac:dyDescent="0.35">
      <c r="A199" s="13">
        <v>45752</v>
      </c>
      <c r="B199">
        <f>SUMIFS(Sheet1!$K:$K,Sheet1!$H:$H,"&gt;="&amp;A199,Sheet1!$H:$H,"&lt;"&amp;EDATE(A199,1))</f>
        <v>17253.36</v>
      </c>
      <c r="C199" s="14">
        <f t="shared" si="3"/>
        <v>0</v>
      </c>
    </row>
    <row r="200" spans="1:3" ht="15" thickBot="1" x14ac:dyDescent="0.35">
      <c r="A200" s="13">
        <v>45752</v>
      </c>
      <c r="B200">
        <f>SUMIFS(Sheet1!$K:$K,Sheet1!$H:$H,"&gt;="&amp;A200,Sheet1!$H:$H,"&lt;"&amp;EDATE(A200,1))</f>
        <v>17253.36</v>
      </c>
      <c r="C200" s="14">
        <f t="shared" si="3"/>
        <v>-1</v>
      </c>
    </row>
  </sheetData>
  <conditionalFormatting sqref="A2:A200">
    <cfRule type="top10" dxfId="4" priority="2" rank="10"/>
  </conditionalFormatting>
  <conditionalFormatting sqref="C1:C104857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29099-E4C0-4271-93BC-304B4000255F}">
  <dimension ref="A1:I18"/>
  <sheetViews>
    <sheetView topLeftCell="A12" zoomScale="87" workbookViewId="0">
      <selection activeCell="D24" sqref="D24"/>
    </sheetView>
  </sheetViews>
  <sheetFormatPr defaultRowHeight="14.4" x14ac:dyDescent="0.3"/>
  <cols>
    <col min="1" max="1" width="12.88671875" customWidth="1"/>
    <col min="2" max="2" width="13.88671875" customWidth="1"/>
    <col min="3" max="3" width="15.44140625" customWidth="1"/>
    <col min="4" max="4" width="12.5546875" customWidth="1"/>
    <col min="6" max="6" width="15.5546875" customWidth="1"/>
    <col min="7" max="7" width="12.109375" customWidth="1"/>
    <col min="8" max="8" width="13.109375" customWidth="1"/>
    <col min="9" max="9" width="12.88671875" customWidth="1"/>
  </cols>
  <sheetData>
    <row r="1" spans="1:9" x14ac:dyDescent="0.3">
      <c r="A1" t="s">
        <v>81</v>
      </c>
    </row>
    <row r="2" spans="1:9" ht="15" thickBot="1" x14ac:dyDescent="0.35"/>
    <row r="3" spans="1:9" x14ac:dyDescent="0.3">
      <c r="A3" s="10" t="s">
        <v>82</v>
      </c>
      <c r="B3" s="10"/>
    </row>
    <row r="4" spans="1:9" x14ac:dyDescent="0.3">
      <c r="A4" t="s">
        <v>83</v>
      </c>
      <c r="B4">
        <v>0.77509603475783762</v>
      </c>
    </row>
    <row r="5" spans="1:9" x14ac:dyDescent="0.3">
      <c r="A5" t="s">
        <v>84</v>
      </c>
      <c r="B5">
        <v>0.60077386309732306</v>
      </c>
    </row>
    <row r="6" spans="1:9" x14ac:dyDescent="0.3">
      <c r="A6" t="s">
        <v>85</v>
      </c>
      <c r="B6">
        <v>0.59874733448360384</v>
      </c>
    </row>
    <row r="7" spans="1:9" x14ac:dyDescent="0.3">
      <c r="A7" t="s">
        <v>86</v>
      </c>
      <c r="B7">
        <v>86.100275101996374</v>
      </c>
    </row>
    <row r="8" spans="1:9" ht="15" thickBot="1" x14ac:dyDescent="0.35">
      <c r="A8" s="8" t="s">
        <v>87</v>
      </c>
      <c r="B8" s="8">
        <v>199</v>
      </c>
    </row>
    <row r="10" spans="1:9" ht="15" thickBot="1" x14ac:dyDescent="0.35">
      <c r="A10" t="s">
        <v>88</v>
      </c>
    </row>
    <row r="11" spans="1:9" x14ac:dyDescent="0.3">
      <c r="A11" s="9"/>
      <c r="B11" s="9" t="s">
        <v>93</v>
      </c>
      <c r="C11" s="9" t="s">
        <v>94</v>
      </c>
      <c r="D11" s="9" t="s">
        <v>95</v>
      </c>
      <c r="E11" s="9" t="s">
        <v>96</v>
      </c>
      <c r="F11" s="9" t="s">
        <v>97</v>
      </c>
    </row>
    <row r="12" spans="1:9" x14ac:dyDescent="0.3">
      <c r="A12" t="s">
        <v>89</v>
      </c>
      <c r="B12">
        <v>1</v>
      </c>
      <c r="C12">
        <v>2197694.7375649004</v>
      </c>
      <c r="D12">
        <v>2197694.7375649004</v>
      </c>
      <c r="E12">
        <v>296.454665890336</v>
      </c>
      <c r="F12">
        <v>3.8320398862153278E-41</v>
      </c>
    </row>
    <row r="13" spans="1:9" x14ac:dyDescent="0.3">
      <c r="A13" t="s">
        <v>90</v>
      </c>
      <c r="B13">
        <v>197</v>
      </c>
      <c r="C13">
        <v>1460411.7024099729</v>
      </c>
      <c r="D13">
        <v>7413.2573726394567</v>
      </c>
    </row>
    <row r="14" spans="1:9" ht="15" thickBot="1" x14ac:dyDescent="0.35">
      <c r="A14" s="8" t="s">
        <v>91</v>
      </c>
      <c r="B14" s="8">
        <v>198</v>
      </c>
      <c r="C14" s="8">
        <v>3658106.4399748733</v>
      </c>
      <c r="D14" s="8"/>
      <c r="E14" s="8"/>
      <c r="F14" s="8"/>
    </row>
    <row r="15" spans="1:9" ht="15" thickBot="1" x14ac:dyDescent="0.35"/>
    <row r="16" spans="1:9" x14ac:dyDescent="0.3">
      <c r="A16" s="9"/>
      <c r="B16" s="9" t="s">
        <v>98</v>
      </c>
      <c r="C16" s="9" t="s">
        <v>86</v>
      </c>
      <c r="D16" s="9" t="s">
        <v>99</v>
      </c>
      <c r="E16" s="9" t="s">
        <v>100</v>
      </c>
      <c r="F16" s="9" t="s">
        <v>101</v>
      </c>
      <c r="G16" s="9" t="s">
        <v>102</v>
      </c>
      <c r="H16" s="9" t="s">
        <v>103</v>
      </c>
      <c r="I16" s="9" t="s">
        <v>104</v>
      </c>
    </row>
    <row r="17" spans="1:9" x14ac:dyDescent="0.3">
      <c r="A17" t="s">
        <v>92</v>
      </c>
      <c r="B17">
        <v>-1.9216687262813252</v>
      </c>
      <c r="C17">
        <v>20.827245336623648</v>
      </c>
      <c r="D17">
        <v>-9.2267061496710226E-2</v>
      </c>
      <c r="E17">
        <v>0.92657961715869708</v>
      </c>
      <c r="F17">
        <v>-42.994642585997902</v>
      </c>
      <c r="G17">
        <v>39.151305133435251</v>
      </c>
      <c r="H17">
        <v>-42.994642585997902</v>
      </c>
      <c r="I17">
        <v>39.151305133435251</v>
      </c>
    </row>
    <row r="18" spans="1:9" ht="15" thickBot="1" x14ac:dyDescent="0.35">
      <c r="A18" s="8" t="s">
        <v>4</v>
      </c>
      <c r="B18" s="8">
        <v>0.35116922503111864</v>
      </c>
      <c r="C18" s="8">
        <v>2.0395638424194566E-2</v>
      </c>
      <c r="D18" s="8">
        <v>17.217858922942074</v>
      </c>
      <c r="E18" s="8">
        <v>3.8320398862153278E-41</v>
      </c>
      <c r="F18" s="8">
        <v>0.31094741411423732</v>
      </c>
      <c r="G18" s="8">
        <v>0.39139103594799995</v>
      </c>
      <c r="H18" s="8">
        <v>0.31094741411423732</v>
      </c>
      <c r="I18" s="8">
        <v>0.39139103594799995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8247-1615-4341-A011-B18CB5CD67A0}">
  <dimension ref="A1:B15"/>
  <sheetViews>
    <sheetView workbookViewId="0">
      <selection sqref="A1:A1048576"/>
    </sheetView>
  </sheetViews>
  <sheetFormatPr defaultRowHeight="14.4" x14ac:dyDescent="0.3"/>
  <cols>
    <col min="1" max="1" width="19.77734375" customWidth="1"/>
    <col min="2" max="2" width="12.5546875" customWidth="1"/>
  </cols>
  <sheetData>
    <row r="1" spans="1:2" x14ac:dyDescent="0.3">
      <c r="A1" s="10" t="s">
        <v>4</v>
      </c>
      <c r="B1" s="10"/>
    </row>
    <row r="3" spans="1:2" x14ac:dyDescent="0.3">
      <c r="A3" t="s">
        <v>105</v>
      </c>
      <c r="B3">
        <v>976.3288442211051</v>
      </c>
    </row>
    <row r="4" spans="1:2" x14ac:dyDescent="0.3">
      <c r="A4" t="s">
        <v>86</v>
      </c>
      <c r="B4">
        <v>21.267091598225537</v>
      </c>
    </row>
    <row r="5" spans="1:2" x14ac:dyDescent="0.3">
      <c r="A5" t="s">
        <v>106</v>
      </c>
      <c r="B5">
        <v>980.18</v>
      </c>
    </row>
    <row r="6" spans="1:2" x14ac:dyDescent="0.3">
      <c r="A6" t="s">
        <v>107</v>
      </c>
      <c r="B6" t="e">
        <v>#N/A</v>
      </c>
    </row>
    <row r="7" spans="1:2" x14ac:dyDescent="0.3">
      <c r="A7" t="s">
        <v>108</v>
      </c>
      <c r="B7">
        <v>300.00924623153821</v>
      </c>
    </row>
    <row r="8" spans="1:2" x14ac:dyDescent="0.3">
      <c r="A8" t="s">
        <v>109</v>
      </c>
      <c r="B8">
        <v>90005.547824415742</v>
      </c>
    </row>
    <row r="9" spans="1:2" x14ac:dyDescent="0.3">
      <c r="A9" t="s">
        <v>110</v>
      </c>
      <c r="B9">
        <v>-0.10296167052772454</v>
      </c>
    </row>
    <row r="10" spans="1:2" x14ac:dyDescent="0.3">
      <c r="A10" t="s">
        <v>111</v>
      </c>
      <c r="B10">
        <v>0.14412008238856419</v>
      </c>
    </row>
    <row r="11" spans="1:2" x14ac:dyDescent="0.3">
      <c r="A11" t="s">
        <v>112</v>
      </c>
      <c r="B11">
        <v>1665.15</v>
      </c>
    </row>
    <row r="12" spans="1:2" x14ac:dyDescent="0.3">
      <c r="A12" t="s">
        <v>113</v>
      </c>
      <c r="B12">
        <v>258.51</v>
      </c>
    </row>
    <row r="13" spans="1:2" x14ac:dyDescent="0.3">
      <c r="A13" t="s">
        <v>114</v>
      </c>
      <c r="B13">
        <v>1923.66</v>
      </c>
    </row>
    <row r="14" spans="1:2" x14ac:dyDescent="0.3">
      <c r="A14" t="s">
        <v>115</v>
      </c>
      <c r="B14">
        <v>194289.43999999992</v>
      </c>
    </row>
    <row r="15" spans="1:2" ht="15" thickBot="1" x14ac:dyDescent="0.35">
      <c r="A15" s="8" t="s">
        <v>116</v>
      </c>
      <c r="B15" s="8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F26D9-BFE2-4D04-A6C0-9DC153990047}">
  <dimension ref="A1:Y200"/>
  <sheetViews>
    <sheetView topLeftCell="A188" zoomScale="87" zoomScaleNormal="87" workbookViewId="0">
      <selection activeCell="H2" sqref="H2:H200"/>
    </sheetView>
  </sheetViews>
  <sheetFormatPr defaultRowHeight="14.4" x14ac:dyDescent="0.3"/>
  <cols>
    <col min="1" max="9" width="17.44140625" customWidth="1"/>
    <col min="11" max="11" width="12.44140625" customWidth="1"/>
    <col min="12" max="12" width="18.33203125" customWidth="1"/>
    <col min="13" max="13" width="15.6640625" customWidth="1"/>
    <col min="14" max="14" width="17.6640625" customWidth="1"/>
    <col min="15" max="15" width="18.5546875" customWidth="1"/>
  </cols>
  <sheetData>
    <row r="1" spans="1:25" ht="28.8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7" t="s">
        <v>78</v>
      </c>
      <c r="L1" s="7" t="s">
        <v>117</v>
      </c>
      <c r="M1" s="7" t="s">
        <v>118</v>
      </c>
      <c r="N1" s="7" t="s">
        <v>119</v>
      </c>
      <c r="O1" s="7" t="s">
        <v>120</v>
      </c>
    </row>
    <row r="2" spans="1:25" ht="31.2" customHeight="1" thickBot="1" x14ac:dyDescent="0.35">
      <c r="A2" s="2" t="s">
        <v>9</v>
      </c>
      <c r="B2" s="2" t="s">
        <v>10</v>
      </c>
      <c r="C2" s="2" t="s">
        <v>11</v>
      </c>
      <c r="D2" s="2" t="s">
        <v>12</v>
      </c>
      <c r="E2" s="3">
        <v>1036.0899999999999</v>
      </c>
      <c r="F2" s="3">
        <v>4</v>
      </c>
      <c r="G2" s="3">
        <v>-67108.664000000004</v>
      </c>
      <c r="H2" s="4">
        <v>45392</v>
      </c>
      <c r="I2" s="3">
        <v>331.55</v>
      </c>
      <c r="K2">
        <f>E2*F2</f>
        <v>4144.3599999999997</v>
      </c>
      <c r="L2" s="11">
        <f ca="1">NOW()</f>
        <v>46301.680254861109</v>
      </c>
      <c r="M2" t="str">
        <f>INDEX(B1:B200,MATCH(MAX(K1:K200),K1:K200,0))</f>
        <v>Sarah Davis</v>
      </c>
      <c r="N2">
        <f>MAX(K2:K200)</f>
        <v>27435.62</v>
      </c>
      <c r="O2" t="str" cm="1">
        <f t="array" ref="O2:Y89">_xlfn._xlws.FILTER(A2:K200,K2:K200&gt;AVERAGE(K2:K200))</f>
        <v>CUST017</v>
      </c>
      <c r="P2" t="str">
        <v>James Taylor</v>
      </c>
      <c r="Q2" t="str">
        <v>East</v>
      </c>
      <c r="R2" t="str">
        <v>Books</v>
      </c>
      <c r="S2">
        <v>713.34</v>
      </c>
      <c r="T2">
        <v>17</v>
      </c>
      <c r="U2">
        <v>0</v>
      </c>
      <c r="V2">
        <v>45396</v>
      </c>
      <c r="W2">
        <v>285.33999999999997</v>
      </c>
      <c r="X2">
        <v>0</v>
      </c>
      <c r="Y2">
        <v>12126.78</v>
      </c>
    </row>
    <row r="3" spans="1:25" ht="29.4" thickBot="1" x14ac:dyDescent="0.35">
      <c r="A3" s="2" t="s">
        <v>13</v>
      </c>
      <c r="B3" s="2" t="s">
        <v>14</v>
      </c>
      <c r="C3" s="2" t="s">
        <v>11</v>
      </c>
      <c r="D3" s="2" t="s">
        <v>15</v>
      </c>
      <c r="E3" s="3">
        <v>1101.28</v>
      </c>
      <c r="F3" s="3">
        <v>3</v>
      </c>
      <c r="G3" s="3">
        <v>0.2</v>
      </c>
      <c r="H3" s="4">
        <v>45393</v>
      </c>
      <c r="I3" s="3">
        <v>440.51</v>
      </c>
      <c r="K3">
        <f t="shared" ref="K3:K66" si="0">E3*F3</f>
        <v>3303.84</v>
      </c>
      <c r="L3" s="11">
        <f t="shared" ref="L3:L66" ca="1" si="1">NOW()</f>
        <v>46301.680254861109</v>
      </c>
      <c r="O3" t="str">
        <v>CUST030</v>
      </c>
      <c r="P3" t="str">
        <v>James Wilson</v>
      </c>
      <c r="Q3" t="str">
        <v>North</v>
      </c>
      <c r="R3" t="str">
        <v>Books</v>
      </c>
      <c r="S3">
        <v>847</v>
      </c>
      <c r="T3">
        <v>12</v>
      </c>
      <c r="U3">
        <v>0.2</v>
      </c>
      <c r="V3">
        <v>45397</v>
      </c>
      <c r="W3">
        <v>271.04000000000002</v>
      </c>
      <c r="X3">
        <v>340.9349748743719</v>
      </c>
      <c r="Y3">
        <v>10164</v>
      </c>
    </row>
    <row r="4" spans="1:25" ht="29.4" thickBot="1" x14ac:dyDescent="0.35">
      <c r="A4" s="2" t="s">
        <v>16</v>
      </c>
      <c r="B4" s="2" t="s">
        <v>17</v>
      </c>
      <c r="C4" s="2" t="s">
        <v>18</v>
      </c>
      <c r="D4" s="2" t="s">
        <v>12</v>
      </c>
      <c r="E4" s="3">
        <v>713.34</v>
      </c>
      <c r="F4" s="3">
        <v>17</v>
      </c>
      <c r="G4" s="3">
        <v>0</v>
      </c>
      <c r="H4" s="4">
        <v>45396</v>
      </c>
      <c r="I4" s="3">
        <v>285.33999999999997</v>
      </c>
      <c r="K4">
        <f t="shared" si="0"/>
        <v>12126.78</v>
      </c>
      <c r="L4" s="11">
        <f t="shared" ca="1" si="1"/>
        <v>46301.680254861109</v>
      </c>
      <c r="O4" t="str">
        <v>CUST001</v>
      </c>
      <c r="P4" t="str">
        <v>Linda Wilson</v>
      </c>
      <c r="Q4" t="str">
        <v>West</v>
      </c>
      <c r="R4" t="str">
        <v>Electronics</v>
      </c>
      <c r="S4">
        <v>1317.53</v>
      </c>
      <c r="T4">
        <v>12</v>
      </c>
      <c r="U4">
        <v>0.05</v>
      </c>
      <c r="V4">
        <v>45398</v>
      </c>
      <c r="W4">
        <v>312.91000000000003</v>
      </c>
      <c r="X4">
        <v>0</v>
      </c>
      <c r="Y4">
        <v>15810.36</v>
      </c>
    </row>
    <row r="5" spans="1:25" ht="29.4" thickBot="1" x14ac:dyDescent="0.35">
      <c r="A5" s="2" t="s">
        <v>19</v>
      </c>
      <c r="B5" s="2" t="s">
        <v>14</v>
      </c>
      <c r="C5" s="2" t="s">
        <v>20</v>
      </c>
      <c r="D5" s="2" t="s">
        <v>21</v>
      </c>
      <c r="E5" s="3">
        <v>760.93</v>
      </c>
      <c r="F5" s="3">
        <v>4</v>
      </c>
      <c r="G5" s="3">
        <v>0.15</v>
      </c>
      <c r="H5" s="4">
        <v>45396</v>
      </c>
      <c r="I5" s="3">
        <v>161.69999999999999</v>
      </c>
      <c r="K5">
        <f t="shared" si="0"/>
        <v>3043.72</v>
      </c>
      <c r="L5" s="11">
        <f ca="1">NOW()</f>
        <v>46301.680254861109</v>
      </c>
      <c r="O5" t="str">
        <v>CUST014</v>
      </c>
      <c r="P5" t="str">
        <v>David Thomas</v>
      </c>
      <c r="Q5" t="str">
        <v>Central</v>
      </c>
      <c r="R5" t="str">
        <v>Books</v>
      </c>
      <c r="S5">
        <v>1343.13</v>
      </c>
      <c r="T5">
        <v>14</v>
      </c>
      <c r="U5">
        <v>0.15</v>
      </c>
      <c r="V5">
        <v>45404</v>
      </c>
      <c r="W5">
        <v>456.66</v>
      </c>
      <c r="X5">
        <v>0</v>
      </c>
      <c r="Y5">
        <v>18803.82</v>
      </c>
    </row>
    <row r="6" spans="1:25" ht="29.4" thickBot="1" x14ac:dyDescent="0.35">
      <c r="A6" s="2" t="s">
        <v>22</v>
      </c>
      <c r="B6" s="2" t="s">
        <v>23</v>
      </c>
      <c r="C6" s="2" t="s">
        <v>24</v>
      </c>
      <c r="D6" s="2" t="s">
        <v>12</v>
      </c>
      <c r="E6" s="3">
        <v>847</v>
      </c>
      <c r="F6" s="3">
        <v>12</v>
      </c>
      <c r="G6" s="3">
        <v>0.2</v>
      </c>
      <c r="H6" s="4">
        <v>45397</v>
      </c>
      <c r="I6" s="3">
        <v>271.04000000000002</v>
      </c>
      <c r="J6">
        <f t="shared" ref="J6" si="2">AVERAGE(I:I)</f>
        <v>340.9349748743719</v>
      </c>
      <c r="K6">
        <f t="shared" si="0"/>
        <v>10164</v>
      </c>
      <c r="L6" s="11">
        <f t="shared" ca="1" si="1"/>
        <v>46301.680254861109</v>
      </c>
      <c r="O6" t="str">
        <v>CUST007</v>
      </c>
      <c r="P6" t="str">
        <v>Michael Anderson</v>
      </c>
      <c r="Q6" t="str">
        <v>Central</v>
      </c>
      <c r="R6" t="str">
        <v>Books</v>
      </c>
      <c r="S6">
        <v>1191.58</v>
      </c>
      <c r="T6">
        <v>14</v>
      </c>
      <c r="U6">
        <v>0.05</v>
      </c>
      <c r="V6">
        <v>45406</v>
      </c>
      <c r="W6">
        <v>452.8</v>
      </c>
      <c r="X6">
        <v>0</v>
      </c>
      <c r="Y6">
        <v>16682.12</v>
      </c>
    </row>
    <row r="7" spans="1:25" ht="29.4" thickBot="1" x14ac:dyDescent="0.35">
      <c r="A7" s="2" t="s">
        <v>25</v>
      </c>
      <c r="B7" s="2" t="s">
        <v>26</v>
      </c>
      <c r="C7" s="2" t="s">
        <v>24</v>
      </c>
      <c r="D7" s="2" t="s">
        <v>27</v>
      </c>
      <c r="E7" s="3">
        <v>965.64</v>
      </c>
      <c r="F7" s="3">
        <v>8</v>
      </c>
      <c r="G7" s="3">
        <v>0.1</v>
      </c>
      <c r="H7" s="4">
        <v>45398</v>
      </c>
      <c r="I7" s="3">
        <v>304.18</v>
      </c>
      <c r="K7">
        <f t="shared" si="0"/>
        <v>7725.12</v>
      </c>
      <c r="L7" s="11">
        <f t="shared" ca="1" si="1"/>
        <v>46301.680254861109</v>
      </c>
      <c r="O7" t="str">
        <v>CUST005</v>
      </c>
      <c r="P7" t="str">
        <v>Sarah Anderson</v>
      </c>
      <c r="Q7" t="str">
        <v>South</v>
      </c>
      <c r="R7" t="str">
        <v>Electronics</v>
      </c>
      <c r="S7">
        <v>1502.93</v>
      </c>
      <c r="T7">
        <v>14</v>
      </c>
      <c r="U7">
        <v>0.2</v>
      </c>
      <c r="V7">
        <v>45410</v>
      </c>
      <c r="W7">
        <v>300.58999999999997</v>
      </c>
      <c r="X7">
        <v>0</v>
      </c>
      <c r="Y7">
        <v>21041.02</v>
      </c>
    </row>
    <row r="8" spans="1:25" ht="29.4" thickBot="1" x14ac:dyDescent="0.35">
      <c r="A8" s="2" t="s">
        <v>28</v>
      </c>
      <c r="B8" s="2" t="s">
        <v>29</v>
      </c>
      <c r="C8" s="2" t="s">
        <v>11</v>
      </c>
      <c r="D8" s="2" t="s">
        <v>21</v>
      </c>
      <c r="E8" s="3">
        <v>1317.53</v>
      </c>
      <c r="F8" s="3">
        <v>12</v>
      </c>
      <c r="G8" s="3">
        <v>0.05</v>
      </c>
      <c r="H8" s="4">
        <v>45398</v>
      </c>
      <c r="I8" s="3">
        <v>312.91000000000003</v>
      </c>
      <c r="K8">
        <f t="shared" si="0"/>
        <v>15810.36</v>
      </c>
      <c r="L8" s="11">
        <f t="shared" ca="1" si="1"/>
        <v>46301.680254861109</v>
      </c>
      <c r="O8" t="str">
        <v>CUST006</v>
      </c>
      <c r="P8" t="str">
        <v>Mary Jackson</v>
      </c>
      <c r="Q8" t="str">
        <v>West</v>
      </c>
      <c r="R8" t="str">
        <v>Books</v>
      </c>
      <c r="S8">
        <v>1506.14</v>
      </c>
      <c r="T8">
        <v>13</v>
      </c>
      <c r="U8">
        <v>0.2</v>
      </c>
      <c r="V8">
        <v>45412</v>
      </c>
      <c r="W8">
        <v>481.96</v>
      </c>
      <c r="X8">
        <v>0</v>
      </c>
      <c r="Y8">
        <v>19579.82</v>
      </c>
    </row>
    <row r="9" spans="1:25" ht="29.4" thickBot="1" x14ac:dyDescent="0.35">
      <c r="A9" s="2" t="s">
        <v>30</v>
      </c>
      <c r="B9" s="2" t="s">
        <v>31</v>
      </c>
      <c r="C9" s="2" t="s">
        <v>18</v>
      </c>
      <c r="D9" s="2" t="s">
        <v>27</v>
      </c>
      <c r="E9" s="3">
        <v>1074.47</v>
      </c>
      <c r="F9" s="3">
        <v>6</v>
      </c>
      <c r="G9" s="3">
        <v>0.2</v>
      </c>
      <c r="H9" s="4">
        <v>45401</v>
      </c>
      <c r="I9" s="3">
        <v>300.85000000000002</v>
      </c>
      <c r="K9">
        <f t="shared" si="0"/>
        <v>6446.82</v>
      </c>
      <c r="L9" s="11">
        <f t="shared" ca="1" si="1"/>
        <v>46301.680254861109</v>
      </c>
      <c r="O9" t="str">
        <v>CUST007</v>
      </c>
      <c r="P9" t="str">
        <v>Lisa Davis</v>
      </c>
      <c r="Q9" t="str">
        <v>South</v>
      </c>
      <c r="R9" t="str">
        <v>Clothing</v>
      </c>
      <c r="S9">
        <v>953.3</v>
      </c>
      <c r="T9">
        <v>11</v>
      </c>
      <c r="U9">
        <v>0</v>
      </c>
      <c r="V9">
        <v>45415</v>
      </c>
      <c r="W9">
        <v>476.65</v>
      </c>
      <c r="X9">
        <v>0</v>
      </c>
      <c r="Y9">
        <v>10486.3</v>
      </c>
    </row>
    <row r="10" spans="1:25" ht="29.4" thickBot="1" x14ac:dyDescent="0.35">
      <c r="A10" s="2" t="s">
        <v>32</v>
      </c>
      <c r="B10" s="2" t="s">
        <v>33</v>
      </c>
      <c r="C10" s="2" t="s">
        <v>34</v>
      </c>
      <c r="D10" s="2" t="s">
        <v>12</v>
      </c>
      <c r="E10" s="3">
        <v>501.54</v>
      </c>
      <c r="F10" s="3">
        <v>11</v>
      </c>
      <c r="G10" s="3">
        <v>0.05</v>
      </c>
      <c r="H10" s="4">
        <v>45401</v>
      </c>
      <c r="I10" s="3">
        <v>190.59</v>
      </c>
      <c r="K10">
        <f t="shared" si="0"/>
        <v>5516.9400000000005</v>
      </c>
      <c r="L10" s="11">
        <f t="shared" ca="1" si="1"/>
        <v>46301.680254861109</v>
      </c>
      <c r="O10" t="str">
        <v>CUST010</v>
      </c>
      <c r="P10" t="str">
        <v>Linda Brown</v>
      </c>
      <c r="Q10" t="str">
        <v>South</v>
      </c>
      <c r="R10" t="str">
        <v>Electronics</v>
      </c>
      <c r="S10">
        <v>1173.1199999999999</v>
      </c>
      <c r="T10">
        <v>18</v>
      </c>
      <c r="U10">
        <v>0</v>
      </c>
      <c r="V10">
        <v>45418</v>
      </c>
      <c r="W10">
        <v>293.27999999999997</v>
      </c>
      <c r="X10">
        <v>0</v>
      </c>
      <c r="Y10">
        <v>21116.159999999996</v>
      </c>
    </row>
    <row r="11" spans="1:25" ht="29.4" thickBot="1" x14ac:dyDescent="0.35">
      <c r="A11" s="2" t="s">
        <v>35</v>
      </c>
      <c r="B11" s="2" t="s">
        <v>36</v>
      </c>
      <c r="C11" s="2" t="s">
        <v>34</v>
      </c>
      <c r="D11" s="2" t="s">
        <v>15</v>
      </c>
      <c r="E11" s="3">
        <v>737.31</v>
      </c>
      <c r="F11" s="3">
        <v>2</v>
      </c>
      <c r="G11" s="3">
        <v>0.05</v>
      </c>
      <c r="H11" s="4">
        <v>45401</v>
      </c>
      <c r="I11" s="3">
        <v>350.22</v>
      </c>
      <c r="K11">
        <f t="shared" si="0"/>
        <v>1474.62</v>
      </c>
      <c r="L11" s="11">
        <f t="shared" ca="1" si="1"/>
        <v>46301.680254861109</v>
      </c>
      <c r="O11" t="str">
        <v>CUST030</v>
      </c>
      <c r="P11" t="str">
        <v>John Brown</v>
      </c>
      <c r="Q11" t="str">
        <v>North</v>
      </c>
      <c r="R11" t="str">
        <v>Furniture</v>
      </c>
      <c r="S11">
        <v>675.54</v>
      </c>
      <c r="T11">
        <v>17</v>
      </c>
      <c r="U11">
        <v>0</v>
      </c>
      <c r="V11">
        <v>45420</v>
      </c>
      <c r="W11">
        <v>236.44</v>
      </c>
      <c r="X11">
        <v>0</v>
      </c>
      <c r="Y11">
        <v>11484.18</v>
      </c>
    </row>
    <row r="12" spans="1:25" ht="29.4" thickBot="1" x14ac:dyDescent="0.35">
      <c r="A12" s="2" t="s">
        <v>37</v>
      </c>
      <c r="B12" s="2" t="s">
        <v>38</v>
      </c>
      <c r="C12" s="2" t="s">
        <v>11</v>
      </c>
      <c r="D12" s="2" t="s">
        <v>39</v>
      </c>
      <c r="E12" s="3">
        <v>1572.82</v>
      </c>
      <c r="F12" s="3">
        <v>6</v>
      </c>
      <c r="G12" s="3">
        <v>0.05</v>
      </c>
      <c r="H12" s="4">
        <v>45402</v>
      </c>
      <c r="I12" s="3">
        <v>672.38</v>
      </c>
      <c r="K12">
        <f t="shared" si="0"/>
        <v>9436.92</v>
      </c>
      <c r="L12" s="11">
        <f t="shared" ca="1" si="1"/>
        <v>46301.680254861109</v>
      </c>
      <c r="O12" t="str">
        <v>CUST028</v>
      </c>
      <c r="P12" t="str">
        <v>Linda Taylor</v>
      </c>
      <c r="Q12" t="str">
        <v>East</v>
      </c>
      <c r="R12" t="str">
        <v>Office Supplies</v>
      </c>
      <c r="S12">
        <v>983.34</v>
      </c>
      <c r="T12">
        <v>19</v>
      </c>
      <c r="U12">
        <v>0.1</v>
      </c>
      <c r="V12">
        <v>45426</v>
      </c>
      <c r="W12">
        <v>398.25</v>
      </c>
      <c r="X12">
        <v>0</v>
      </c>
      <c r="Y12">
        <v>18683.46</v>
      </c>
    </row>
    <row r="13" spans="1:25" ht="29.4" thickBot="1" x14ac:dyDescent="0.35">
      <c r="A13" s="2" t="s">
        <v>37</v>
      </c>
      <c r="B13" s="2" t="s">
        <v>36</v>
      </c>
      <c r="C13" s="2" t="s">
        <v>34</v>
      </c>
      <c r="D13" s="2" t="s">
        <v>12</v>
      </c>
      <c r="E13" s="3">
        <v>1343.13</v>
      </c>
      <c r="F13" s="3">
        <v>14</v>
      </c>
      <c r="G13" s="3">
        <v>0.15</v>
      </c>
      <c r="H13" s="4">
        <v>45404</v>
      </c>
      <c r="I13" s="3">
        <v>456.66</v>
      </c>
      <c r="K13">
        <f t="shared" si="0"/>
        <v>18803.82</v>
      </c>
      <c r="L13" s="11">
        <f t="shared" ca="1" si="1"/>
        <v>46301.680254861109</v>
      </c>
      <c r="O13" t="str">
        <v>CUST022</v>
      </c>
      <c r="P13" t="str">
        <v>David Davis</v>
      </c>
      <c r="Q13" t="str">
        <v>Central</v>
      </c>
      <c r="R13" t="str">
        <v>Books</v>
      </c>
      <c r="S13">
        <v>1023.21</v>
      </c>
      <c r="T13">
        <v>18</v>
      </c>
      <c r="U13">
        <v>0.05</v>
      </c>
      <c r="V13">
        <v>45428</v>
      </c>
      <c r="W13">
        <v>388.82</v>
      </c>
      <c r="X13">
        <v>0</v>
      </c>
      <c r="Y13">
        <v>18417.78</v>
      </c>
    </row>
    <row r="14" spans="1:25" ht="29.4" thickBot="1" x14ac:dyDescent="0.35">
      <c r="A14" s="2" t="s">
        <v>25</v>
      </c>
      <c r="B14" s="2" t="s">
        <v>26</v>
      </c>
      <c r="C14" s="2" t="s">
        <v>34</v>
      </c>
      <c r="D14" s="2" t="s">
        <v>12</v>
      </c>
      <c r="E14" s="3">
        <v>1191.58</v>
      </c>
      <c r="F14" s="3">
        <v>14</v>
      </c>
      <c r="G14" s="3">
        <v>0.05</v>
      </c>
      <c r="H14" s="4">
        <v>45406</v>
      </c>
      <c r="I14" s="3">
        <v>452.8</v>
      </c>
      <c r="K14">
        <f t="shared" si="0"/>
        <v>16682.12</v>
      </c>
      <c r="L14" s="11">
        <f t="shared" ca="1" si="1"/>
        <v>46301.680254861109</v>
      </c>
      <c r="O14" t="str">
        <v>CUST015</v>
      </c>
      <c r="P14" t="str">
        <v>Linda Taylor</v>
      </c>
      <c r="Q14" t="str">
        <v>North</v>
      </c>
      <c r="R14" t="str">
        <v>Office Supplies</v>
      </c>
      <c r="S14">
        <v>1200.9000000000001</v>
      </c>
      <c r="T14">
        <v>14</v>
      </c>
      <c r="U14">
        <v>0.05</v>
      </c>
      <c r="V14">
        <v>45429</v>
      </c>
      <c r="W14">
        <v>513.38</v>
      </c>
      <c r="X14">
        <v>0</v>
      </c>
      <c r="Y14">
        <v>16812.600000000002</v>
      </c>
    </row>
    <row r="15" spans="1:25" ht="29.4" thickBot="1" x14ac:dyDescent="0.35">
      <c r="A15" s="2" t="s">
        <v>40</v>
      </c>
      <c r="B15" s="2" t="s">
        <v>14</v>
      </c>
      <c r="C15" s="2" t="s">
        <v>11</v>
      </c>
      <c r="D15" s="2" t="s">
        <v>27</v>
      </c>
      <c r="E15" s="3">
        <v>822.28</v>
      </c>
      <c r="F15" s="3">
        <v>7</v>
      </c>
      <c r="G15" s="3">
        <v>0.05</v>
      </c>
      <c r="H15" s="4">
        <v>45406</v>
      </c>
      <c r="I15" s="3">
        <v>273.41000000000003</v>
      </c>
      <c r="K15">
        <f t="shared" si="0"/>
        <v>5755.96</v>
      </c>
      <c r="L15" s="11">
        <f t="shared" ca="1" si="1"/>
        <v>46301.680254861109</v>
      </c>
      <c r="O15" t="str">
        <v>CUST028</v>
      </c>
      <c r="P15" t="str">
        <v>Lisa Davis</v>
      </c>
      <c r="Q15" t="str">
        <v>Central</v>
      </c>
      <c r="R15" t="str">
        <v>Furniture</v>
      </c>
      <c r="S15">
        <v>1410.06</v>
      </c>
      <c r="T15">
        <v>11</v>
      </c>
      <c r="U15">
        <v>0.05</v>
      </c>
      <c r="V15">
        <v>45434</v>
      </c>
      <c r="W15">
        <v>468.84</v>
      </c>
      <c r="X15">
        <v>0</v>
      </c>
      <c r="Y15">
        <v>15510.66</v>
      </c>
    </row>
    <row r="16" spans="1:25" ht="29.4" thickBot="1" x14ac:dyDescent="0.35">
      <c r="A16" s="2" t="s">
        <v>41</v>
      </c>
      <c r="B16" s="2" t="s">
        <v>42</v>
      </c>
      <c r="C16" s="2" t="s">
        <v>24</v>
      </c>
      <c r="D16" s="2" t="s">
        <v>27</v>
      </c>
      <c r="E16" s="3">
        <v>521.66999999999996</v>
      </c>
      <c r="F16" s="3">
        <v>15</v>
      </c>
      <c r="G16" s="3">
        <v>0.15</v>
      </c>
      <c r="H16" s="4">
        <v>45409</v>
      </c>
      <c r="I16" s="3">
        <v>155.19999999999999</v>
      </c>
      <c r="K16">
        <f t="shared" si="0"/>
        <v>7825.0499999999993</v>
      </c>
      <c r="L16" s="11">
        <f t="shared" ca="1" si="1"/>
        <v>46301.680254861109</v>
      </c>
      <c r="O16" t="str">
        <v>CUST008</v>
      </c>
      <c r="P16" t="str">
        <v>Mary Wilson</v>
      </c>
      <c r="Q16" t="str">
        <v>Central</v>
      </c>
      <c r="R16" t="str">
        <v>Furniture</v>
      </c>
      <c r="S16">
        <v>773.09</v>
      </c>
      <c r="T16">
        <v>13</v>
      </c>
      <c r="U16">
        <v>0.15</v>
      </c>
      <c r="V16">
        <v>45434</v>
      </c>
      <c r="W16">
        <v>229.99</v>
      </c>
      <c r="X16">
        <v>0</v>
      </c>
      <c r="Y16">
        <v>10050.17</v>
      </c>
    </row>
    <row r="17" spans="1:25" ht="29.4" thickBot="1" x14ac:dyDescent="0.35">
      <c r="A17" s="2" t="s">
        <v>19</v>
      </c>
      <c r="B17" s="2" t="s">
        <v>43</v>
      </c>
      <c r="C17" s="2" t="s">
        <v>20</v>
      </c>
      <c r="D17" s="2" t="s">
        <v>21</v>
      </c>
      <c r="E17" s="3">
        <v>1502.93</v>
      </c>
      <c r="F17" s="3">
        <v>14</v>
      </c>
      <c r="G17" s="3">
        <v>0.2</v>
      </c>
      <c r="H17" s="4">
        <v>45410</v>
      </c>
      <c r="I17" s="3">
        <v>300.58999999999997</v>
      </c>
      <c r="K17">
        <f t="shared" si="0"/>
        <v>21041.02</v>
      </c>
      <c r="L17" s="11">
        <f t="shared" ca="1" si="1"/>
        <v>46301.680254861109</v>
      </c>
      <c r="O17" t="str">
        <v>CUST016</v>
      </c>
      <c r="P17" t="str">
        <v>Emma Wilson</v>
      </c>
      <c r="Q17" t="str">
        <v>East</v>
      </c>
      <c r="R17" t="str">
        <v>Books</v>
      </c>
      <c r="S17">
        <v>580.42999999999995</v>
      </c>
      <c r="T17">
        <v>19</v>
      </c>
      <c r="U17">
        <v>0.15</v>
      </c>
      <c r="V17">
        <v>45435</v>
      </c>
      <c r="W17">
        <v>197.35</v>
      </c>
      <c r="X17">
        <v>0</v>
      </c>
      <c r="Y17">
        <v>11028.169999999998</v>
      </c>
    </row>
    <row r="18" spans="1:25" ht="29.4" thickBot="1" x14ac:dyDescent="0.35">
      <c r="A18" s="2" t="s">
        <v>44</v>
      </c>
      <c r="B18" s="2" t="s">
        <v>14</v>
      </c>
      <c r="C18" s="2" t="s">
        <v>20</v>
      </c>
      <c r="D18" s="2" t="s">
        <v>12</v>
      </c>
      <c r="E18" s="3">
        <v>877.58</v>
      </c>
      <c r="F18" s="3">
        <v>10</v>
      </c>
      <c r="G18" s="3">
        <v>0.15</v>
      </c>
      <c r="H18" s="4">
        <v>45411</v>
      </c>
      <c r="I18" s="3">
        <v>298.38</v>
      </c>
      <c r="K18">
        <f t="shared" si="0"/>
        <v>8775.8000000000011</v>
      </c>
      <c r="L18" s="11">
        <f t="shared" ca="1" si="1"/>
        <v>46301.680254861109</v>
      </c>
      <c r="O18" t="str">
        <v>CUST005</v>
      </c>
      <c r="P18" t="str">
        <v>David Smith</v>
      </c>
      <c r="Q18" t="str">
        <v>South</v>
      </c>
      <c r="R18" t="str">
        <v>Books</v>
      </c>
      <c r="S18">
        <v>1151.21</v>
      </c>
      <c r="T18">
        <v>15</v>
      </c>
      <c r="U18">
        <v>0.1</v>
      </c>
      <c r="V18">
        <v>45445</v>
      </c>
      <c r="W18">
        <v>414.44</v>
      </c>
      <c r="X18">
        <v>0</v>
      </c>
      <c r="Y18">
        <v>17268.150000000001</v>
      </c>
    </row>
    <row r="19" spans="1:25" ht="29.4" thickBot="1" x14ac:dyDescent="0.35">
      <c r="A19" s="2" t="s">
        <v>28</v>
      </c>
      <c r="B19" s="2" t="s">
        <v>45</v>
      </c>
      <c r="C19" s="2" t="s">
        <v>11</v>
      </c>
      <c r="D19" s="2" t="s">
        <v>12</v>
      </c>
      <c r="E19" s="3">
        <v>636.70000000000005</v>
      </c>
      <c r="F19" s="3">
        <v>4</v>
      </c>
      <c r="G19" s="3">
        <v>0.2</v>
      </c>
      <c r="H19" s="4">
        <v>45411</v>
      </c>
      <c r="I19" s="3">
        <v>203.74</v>
      </c>
      <c r="K19">
        <f t="shared" si="0"/>
        <v>2546.8000000000002</v>
      </c>
      <c r="L19" s="11">
        <f t="shared" ca="1" si="1"/>
        <v>46301.680254861109</v>
      </c>
      <c r="O19" t="str">
        <v>CUST021</v>
      </c>
      <c r="P19" t="str">
        <v>James Wilson</v>
      </c>
      <c r="Q19" t="str">
        <v>Central</v>
      </c>
      <c r="R19" t="str">
        <v>Books</v>
      </c>
      <c r="S19">
        <v>840.85</v>
      </c>
      <c r="T19">
        <v>19</v>
      </c>
      <c r="U19">
        <v>0.1</v>
      </c>
      <c r="V19">
        <v>45448</v>
      </c>
      <c r="W19">
        <v>302.70999999999998</v>
      </c>
      <c r="X19">
        <v>0</v>
      </c>
      <c r="Y19">
        <v>15976.15</v>
      </c>
    </row>
    <row r="20" spans="1:25" ht="29.4" thickBot="1" x14ac:dyDescent="0.35">
      <c r="A20" s="2" t="s">
        <v>46</v>
      </c>
      <c r="B20" s="2" t="s">
        <v>47</v>
      </c>
      <c r="C20" s="2" t="s">
        <v>11</v>
      </c>
      <c r="D20" s="2" t="s">
        <v>12</v>
      </c>
      <c r="E20" s="3">
        <v>1506.14</v>
      </c>
      <c r="F20" s="3">
        <v>13</v>
      </c>
      <c r="G20" s="3">
        <v>0.2</v>
      </c>
      <c r="H20" s="4">
        <v>45412</v>
      </c>
      <c r="I20" s="3">
        <v>481.96</v>
      </c>
      <c r="K20">
        <f t="shared" si="0"/>
        <v>19579.82</v>
      </c>
      <c r="L20" s="11">
        <f t="shared" ca="1" si="1"/>
        <v>46301.680254861109</v>
      </c>
      <c r="O20" t="str">
        <v>CUST026</v>
      </c>
      <c r="P20" t="str">
        <v>Emma Wilson</v>
      </c>
      <c r="Q20" t="str">
        <v>North</v>
      </c>
      <c r="R20" t="str">
        <v>Furniture</v>
      </c>
      <c r="S20">
        <v>1227.25</v>
      </c>
      <c r="T20">
        <v>12</v>
      </c>
      <c r="U20">
        <v>0.15</v>
      </c>
      <c r="V20">
        <v>45448</v>
      </c>
      <c r="W20">
        <v>365.11</v>
      </c>
      <c r="X20">
        <v>0</v>
      </c>
      <c r="Y20">
        <v>14727</v>
      </c>
    </row>
    <row r="21" spans="1:25" ht="29.4" thickBot="1" x14ac:dyDescent="0.35">
      <c r="A21" s="2" t="s">
        <v>30</v>
      </c>
      <c r="B21" s="2" t="s">
        <v>31</v>
      </c>
      <c r="C21" s="2" t="s">
        <v>34</v>
      </c>
      <c r="D21" s="2" t="s">
        <v>21</v>
      </c>
      <c r="E21" s="3">
        <v>645.02</v>
      </c>
      <c r="F21" s="3">
        <v>4</v>
      </c>
      <c r="G21" s="3">
        <v>0</v>
      </c>
      <c r="H21" s="4">
        <v>45414</v>
      </c>
      <c r="I21" s="3">
        <v>161.26</v>
      </c>
      <c r="K21">
        <f t="shared" si="0"/>
        <v>2580.08</v>
      </c>
      <c r="L21" s="11">
        <f t="shared" ca="1" si="1"/>
        <v>46301.680254861109</v>
      </c>
      <c r="O21" t="str">
        <v>CUST025</v>
      </c>
      <c r="P21" t="str">
        <v>David Davis</v>
      </c>
      <c r="Q21" t="str">
        <v>Central</v>
      </c>
      <c r="R21" t="str">
        <v>Office Supplies</v>
      </c>
      <c r="S21">
        <v>1225.42</v>
      </c>
      <c r="T21">
        <v>8</v>
      </c>
      <c r="U21">
        <v>0.15</v>
      </c>
      <c r="V21">
        <v>45449</v>
      </c>
      <c r="W21">
        <v>468.72</v>
      </c>
      <c r="X21">
        <v>0</v>
      </c>
      <c r="Y21">
        <v>9803.36</v>
      </c>
    </row>
    <row r="22" spans="1:25" ht="15" thickBot="1" x14ac:dyDescent="0.35">
      <c r="A22" s="2" t="s">
        <v>25</v>
      </c>
      <c r="B22" s="2" t="s">
        <v>48</v>
      </c>
      <c r="C22" s="2" t="s">
        <v>20</v>
      </c>
      <c r="D22" s="2" t="s">
        <v>15</v>
      </c>
      <c r="E22" s="3">
        <v>953.3</v>
      </c>
      <c r="F22" s="3">
        <v>11</v>
      </c>
      <c r="G22" s="3">
        <v>0</v>
      </c>
      <c r="H22" s="4">
        <v>45415</v>
      </c>
      <c r="I22" s="3">
        <v>476.65</v>
      </c>
      <c r="K22">
        <f t="shared" si="0"/>
        <v>10486.3</v>
      </c>
      <c r="L22" s="11">
        <f t="shared" ca="1" si="1"/>
        <v>46301.680254861109</v>
      </c>
      <c r="O22" t="str">
        <v>CUST011</v>
      </c>
      <c r="P22" t="str">
        <v>Mary Davis</v>
      </c>
      <c r="Q22" t="str">
        <v>North</v>
      </c>
      <c r="R22" t="str">
        <v>Office Supplies</v>
      </c>
      <c r="S22">
        <v>1001.57</v>
      </c>
      <c r="T22">
        <v>12</v>
      </c>
      <c r="U22">
        <v>0</v>
      </c>
      <c r="V22">
        <v>45450</v>
      </c>
      <c r="W22">
        <v>450.71</v>
      </c>
      <c r="X22">
        <v>0</v>
      </c>
      <c r="Y22">
        <v>12018.84</v>
      </c>
    </row>
    <row r="23" spans="1:25" ht="29.4" thickBot="1" x14ac:dyDescent="0.35">
      <c r="A23" s="2" t="s">
        <v>49</v>
      </c>
      <c r="B23" s="2" t="s">
        <v>14</v>
      </c>
      <c r="C23" s="2" t="s">
        <v>24</v>
      </c>
      <c r="D23" s="2" t="s">
        <v>21</v>
      </c>
      <c r="E23" s="3">
        <v>388.56</v>
      </c>
      <c r="F23" s="3">
        <v>14</v>
      </c>
      <c r="G23" s="3">
        <v>0.15</v>
      </c>
      <c r="H23" s="4">
        <v>45416</v>
      </c>
      <c r="I23" s="3">
        <v>82.57</v>
      </c>
      <c r="K23">
        <f t="shared" si="0"/>
        <v>5439.84</v>
      </c>
      <c r="L23" s="11">
        <f t="shared" ca="1" si="1"/>
        <v>46301.680254861109</v>
      </c>
      <c r="O23" t="str">
        <v>CUST021</v>
      </c>
      <c r="P23" t="str">
        <v>Michael Anderson</v>
      </c>
      <c r="Q23" t="str">
        <v>East</v>
      </c>
      <c r="R23" t="str">
        <v>Furniture</v>
      </c>
      <c r="S23">
        <v>1186.8499999999999</v>
      </c>
      <c r="T23">
        <v>19</v>
      </c>
      <c r="U23">
        <v>0.2</v>
      </c>
      <c r="V23">
        <v>45451</v>
      </c>
      <c r="W23">
        <v>332.32</v>
      </c>
      <c r="X23">
        <v>0</v>
      </c>
      <c r="Y23">
        <v>22550.149999999998</v>
      </c>
    </row>
    <row r="24" spans="1:25" ht="29.4" thickBot="1" x14ac:dyDescent="0.35">
      <c r="A24" s="2" t="s">
        <v>9</v>
      </c>
      <c r="B24" s="2" t="s">
        <v>31</v>
      </c>
      <c r="C24" s="2" t="s">
        <v>11</v>
      </c>
      <c r="D24" s="2" t="s">
        <v>12</v>
      </c>
      <c r="E24" s="3">
        <v>743.17</v>
      </c>
      <c r="F24" s="3">
        <v>9</v>
      </c>
      <c r="G24" s="3">
        <v>0</v>
      </c>
      <c r="H24" s="4">
        <v>45416</v>
      </c>
      <c r="I24" s="3">
        <v>297.27</v>
      </c>
      <c r="K24">
        <f t="shared" si="0"/>
        <v>6688.53</v>
      </c>
      <c r="L24" s="11">
        <f t="shared" ca="1" si="1"/>
        <v>46301.680254861109</v>
      </c>
      <c r="O24" t="str">
        <v>CUST002</v>
      </c>
      <c r="P24" t="str">
        <v>Lisa Davis</v>
      </c>
      <c r="Q24" t="str">
        <v>West</v>
      </c>
      <c r="R24" t="str">
        <v>Books</v>
      </c>
      <c r="S24">
        <v>942.9</v>
      </c>
      <c r="T24">
        <v>18</v>
      </c>
      <c r="U24">
        <v>0.1</v>
      </c>
      <c r="V24">
        <v>45466</v>
      </c>
      <c r="W24">
        <v>339.44</v>
      </c>
      <c r="X24">
        <v>0</v>
      </c>
      <c r="Y24">
        <v>16972.2</v>
      </c>
    </row>
    <row r="25" spans="1:25" ht="29.4" thickBot="1" x14ac:dyDescent="0.35">
      <c r="A25" s="2" t="s">
        <v>40</v>
      </c>
      <c r="B25" s="2" t="s">
        <v>31</v>
      </c>
      <c r="C25" s="2" t="s">
        <v>34</v>
      </c>
      <c r="D25" s="2" t="s">
        <v>21</v>
      </c>
      <c r="E25" s="3">
        <v>706.37</v>
      </c>
      <c r="F25" s="3">
        <v>6</v>
      </c>
      <c r="G25" s="3">
        <v>0</v>
      </c>
      <c r="H25" s="4">
        <v>45416</v>
      </c>
      <c r="I25" s="3">
        <v>176.59</v>
      </c>
      <c r="K25">
        <f t="shared" si="0"/>
        <v>4238.22</v>
      </c>
      <c r="L25" s="11">
        <f t="shared" ca="1" si="1"/>
        <v>46301.680254861109</v>
      </c>
      <c r="O25" t="str">
        <v>CUST009</v>
      </c>
      <c r="P25" t="str">
        <v>Emma Davis</v>
      </c>
      <c r="Q25" t="str">
        <v>North</v>
      </c>
      <c r="R25" t="str">
        <v>Electronics</v>
      </c>
      <c r="S25">
        <v>818.8</v>
      </c>
      <c r="T25">
        <v>15</v>
      </c>
      <c r="U25">
        <v>0.15</v>
      </c>
      <c r="V25">
        <v>45468</v>
      </c>
      <c r="W25">
        <v>173.99</v>
      </c>
      <c r="X25">
        <v>0</v>
      </c>
      <c r="Y25">
        <v>12282</v>
      </c>
    </row>
    <row r="26" spans="1:25" ht="29.4" thickBot="1" x14ac:dyDescent="0.35">
      <c r="A26" s="2" t="s">
        <v>13</v>
      </c>
      <c r="B26" s="2" t="s">
        <v>31</v>
      </c>
      <c r="C26" s="2" t="s">
        <v>34</v>
      </c>
      <c r="D26" s="2" t="s">
        <v>39</v>
      </c>
      <c r="E26" s="3">
        <v>925.31</v>
      </c>
      <c r="F26" s="3">
        <v>8</v>
      </c>
      <c r="G26" s="3">
        <v>0.1</v>
      </c>
      <c r="H26" s="4">
        <v>45418</v>
      </c>
      <c r="I26" s="3">
        <v>374.75</v>
      </c>
      <c r="K26">
        <f t="shared" si="0"/>
        <v>7402.48</v>
      </c>
      <c r="L26" s="11">
        <f t="shared" ca="1" si="1"/>
        <v>46301.680254861109</v>
      </c>
      <c r="O26" t="str">
        <v>CUST030</v>
      </c>
      <c r="P26" t="str">
        <v>Emma Taylor</v>
      </c>
      <c r="Q26" t="str">
        <v>Central</v>
      </c>
      <c r="R26" t="str">
        <v>Books</v>
      </c>
      <c r="S26">
        <v>973.26</v>
      </c>
      <c r="T26">
        <v>11</v>
      </c>
      <c r="U26">
        <v>0</v>
      </c>
      <c r="V26">
        <v>45470</v>
      </c>
      <c r="W26">
        <v>389.3</v>
      </c>
      <c r="X26">
        <v>0</v>
      </c>
      <c r="Y26">
        <v>10705.86</v>
      </c>
    </row>
    <row r="27" spans="1:25" ht="29.4" thickBot="1" x14ac:dyDescent="0.35">
      <c r="A27" s="2" t="s">
        <v>35</v>
      </c>
      <c r="B27" s="2" t="s">
        <v>50</v>
      </c>
      <c r="C27" s="2" t="s">
        <v>20</v>
      </c>
      <c r="D27" s="2" t="s">
        <v>21</v>
      </c>
      <c r="E27" s="3">
        <v>1173.1199999999999</v>
      </c>
      <c r="F27" s="3">
        <v>18</v>
      </c>
      <c r="G27" s="3">
        <v>0</v>
      </c>
      <c r="H27" s="4">
        <v>45418</v>
      </c>
      <c r="I27" s="3">
        <v>293.27999999999997</v>
      </c>
      <c r="K27">
        <f t="shared" si="0"/>
        <v>21116.159999999996</v>
      </c>
      <c r="L27" s="11">
        <f t="shared" ca="1" si="1"/>
        <v>46301.680254861109</v>
      </c>
      <c r="O27" t="str">
        <v>CUST012</v>
      </c>
      <c r="P27" t="str">
        <v>Mary Wilson</v>
      </c>
      <c r="Q27" t="str">
        <v>West</v>
      </c>
      <c r="R27" t="str">
        <v>Clothing</v>
      </c>
      <c r="S27">
        <v>1360.36</v>
      </c>
      <c r="T27">
        <v>17</v>
      </c>
      <c r="U27">
        <v>0</v>
      </c>
      <c r="V27">
        <v>45473</v>
      </c>
      <c r="W27">
        <v>680.18</v>
      </c>
      <c r="X27">
        <v>0</v>
      </c>
      <c r="Y27">
        <v>23126.12</v>
      </c>
    </row>
    <row r="28" spans="1:25" ht="29.4" thickBot="1" x14ac:dyDescent="0.35">
      <c r="A28" s="2" t="s">
        <v>22</v>
      </c>
      <c r="B28" s="2" t="s">
        <v>51</v>
      </c>
      <c r="C28" s="2" t="s">
        <v>24</v>
      </c>
      <c r="D28" s="2" t="s">
        <v>27</v>
      </c>
      <c r="E28" s="3">
        <v>675.54</v>
      </c>
      <c r="F28" s="3">
        <v>17</v>
      </c>
      <c r="G28" s="3">
        <v>0</v>
      </c>
      <c r="H28" s="4">
        <v>45420</v>
      </c>
      <c r="I28" s="3">
        <v>236.44</v>
      </c>
      <c r="K28">
        <f t="shared" si="0"/>
        <v>11484.18</v>
      </c>
      <c r="L28" s="11">
        <f t="shared" ca="1" si="1"/>
        <v>46301.680254861109</v>
      </c>
      <c r="O28" t="str">
        <v>CUST021</v>
      </c>
      <c r="P28" t="str">
        <v>Mary Davis</v>
      </c>
      <c r="Q28" t="str">
        <v>East</v>
      </c>
      <c r="R28" t="str">
        <v>Books</v>
      </c>
      <c r="S28">
        <v>1383.3</v>
      </c>
      <c r="T28">
        <v>8</v>
      </c>
      <c r="U28">
        <v>0.1</v>
      </c>
      <c r="V28">
        <v>45478</v>
      </c>
      <c r="W28">
        <v>497.99</v>
      </c>
      <c r="X28">
        <v>0</v>
      </c>
      <c r="Y28">
        <v>11066.4</v>
      </c>
    </row>
    <row r="29" spans="1:25" ht="29.4" thickBot="1" x14ac:dyDescent="0.35">
      <c r="A29" s="2" t="s">
        <v>25</v>
      </c>
      <c r="B29" s="2" t="s">
        <v>14</v>
      </c>
      <c r="C29" s="2" t="s">
        <v>34</v>
      </c>
      <c r="D29" s="2" t="s">
        <v>12</v>
      </c>
      <c r="E29" s="3">
        <v>939.09</v>
      </c>
      <c r="F29" s="3">
        <v>2</v>
      </c>
      <c r="G29" s="3">
        <v>0.05</v>
      </c>
      <c r="H29" s="4">
        <v>45422</v>
      </c>
      <c r="I29" s="3">
        <v>356.85</v>
      </c>
      <c r="K29">
        <f t="shared" si="0"/>
        <v>1878.18</v>
      </c>
      <c r="L29" s="11">
        <f t="shared" ca="1" si="1"/>
        <v>46301.680254861109</v>
      </c>
      <c r="O29" t="str">
        <v>CUST026</v>
      </c>
      <c r="P29" t="str">
        <v>Mary Davis</v>
      </c>
      <c r="Q29" t="str">
        <v>East</v>
      </c>
      <c r="R29" t="str">
        <v>Furniture</v>
      </c>
      <c r="S29">
        <v>933.71</v>
      </c>
      <c r="T29">
        <v>17</v>
      </c>
      <c r="U29">
        <v>0.1</v>
      </c>
      <c r="V29">
        <v>45481</v>
      </c>
      <c r="W29">
        <v>294.12</v>
      </c>
      <c r="X29">
        <v>0</v>
      </c>
      <c r="Y29">
        <v>15873.07</v>
      </c>
    </row>
    <row r="30" spans="1:25" ht="29.4" thickBot="1" x14ac:dyDescent="0.35">
      <c r="A30" s="2" t="s">
        <v>52</v>
      </c>
      <c r="B30" s="2" t="s">
        <v>53</v>
      </c>
      <c r="C30" s="2" t="s">
        <v>18</v>
      </c>
      <c r="D30" s="2" t="s">
        <v>39</v>
      </c>
      <c r="E30" s="3">
        <v>983.34</v>
      </c>
      <c r="F30" s="3">
        <v>19</v>
      </c>
      <c r="G30" s="3">
        <v>0.1</v>
      </c>
      <c r="H30" s="4">
        <v>45426</v>
      </c>
      <c r="I30" s="3">
        <v>398.25</v>
      </c>
      <c r="K30">
        <f t="shared" si="0"/>
        <v>18683.46</v>
      </c>
      <c r="L30" s="11">
        <f t="shared" ca="1" si="1"/>
        <v>46301.680254861109</v>
      </c>
      <c r="O30" t="str">
        <v>CUST003</v>
      </c>
      <c r="P30" t="str">
        <v>James Davis</v>
      </c>
      <c r="Q30" t="str">
        <v>West</v>
      </c>
      <c r="R30" t="str">
        <v>Electronics</v>
      </c>
      <c r="S30">
        <v>1005.53</v>
      </c>
      <c r="T30">
        <v>17</v>
      </c>
      <c r="U30">
        <v>0.2</v>
      </c>
      <c r="V30">
        <v>45481</v>
      </c>
      <c r="W30">
        <v>201.11</v>
      </c>
      <c r="X30">
        <v>0</v>
      </c>
      <c r="Y30">
        <v>17094.009999999998</v>
      </c>
    </row>
    <row r="31" spans="1:25" ht="29.4" thickBot="1" x14ac:dyDescent="0.35">
      <c r="A31" s="2" t="s">
        <v>52</v>
      </c>
      <c r="B31" s="2" t="s">
        <v>23</v>
      </c>
      <c r="C31" s="2" t="s">
        <v>20</v>
      </c>
      <c r="D31" s="2" t="s">
        <v>21</v>
      </c>
      <c r="E31" s="3">
        <v>801.21</v>
      </c>
      <c r="F31" s="3">
        <v>3</v>
      </c>
      <c r="G31" s="3">
        <v>0.2</v>
      </c>
      <c r="H31" s="4">
        <v>45426</v>
      </c>
      <c r="I31" s="3">
        <v>160.24</v>
      </c>
      <c r="K31">
        <f t="shared" si="0"/>
        <v>2403.63</v>
      </c>
      <c r="L31" s="11">
        <f t="shared" ca="1" si="1"/>
        <v>46301.680254861109</v>
      </c>
      <c r="O31" t="str">
        <v>CUST003</v>
      </c>
      <c r="P31" t="str">
        <v>James Wilson</v>
      </c>
      <c r="Q31" t="str">
        <v>North</v>
      </c>
      <c r="R31" t="str">
        <v>Furniture</v>
      </c>
      <c r="S31">
        <v>1034.7</v>
      </c>
      <c r="T31">
        <v>15</v>
      </c>
      <c r="U31">
        <v>0.15</v>
      </c>
      <c r="V31">
        <v>45487</v>
      </c>
      <c r="W31">
        <v>307.82</v>
      </c>
      <c r="X31">
        <v>0</v>
      </c>
      <c r="Y31">
        <v>15520.5</v>
      </c>
    </row>
    <row r="32" spans="1:25" ht="29.4" thickBot="1" x14ac:dyDescent="0.35">
      <c r="A32" s="2" t="s">
        <v>54</v>
      </c>
      <c r="B32" s="2" t="s">
        <v>55</v>
      </c>
      <c r="C32" s="2" t="s">
        <v>24</v>
      </c>
      <c r="D32" s="2" t="s">
        <v>21</v>
      </c>
      <c r="E32" s="3">
        <v>1450.71</v>
      </c>
      <c r="F32" s="3">
        <v>5</v>
      </c>
      <c r="G32" s="3">
        <v>0.1</v>
      </c>
      <c r="H32" s="4">
        <v>45427</v>
      </c>
      <c r="I32" s="3">
        <v>326.41000000000003</v>
      </c>
      <c r="K32">
        <f t="shared" si="0"/>
        <v>7253.55</v>
      </c>
      <c r="L32" s="11">
        <f t="shared" ca="1" si="1"/>
        <v>46301.680254861109</v>
      </c>
      <c r="O32" t="str">
        <v>CUST002</v>
      </c>
      <c r="P32" t="str">
        <v>Mary Davis</v>
      </c>
      <c r="Q32" t="str">
        <v>South</v>
      </c>
      <c r="R32" t="str">
        <v>Books</v>
      </c>
      <c r="S32">
        <v>876.44</v>
      </c>
      <c r="T32">
        <v>12</v>
      </c>
      <c r="U32">
        <v>0.05</v>
      </c>
      <c r="V32">
        <v>45488</v>
      </c>
      <c r="W32">
        <v>333.05</v>
      </c>
      <c r="X32">
        <v>0</v>
      </c>
      <c r="Y32">
        <v>10517.28</v>
      </c>
    </row>
    <row r="33" spans="1:25" ht="29.4" thickBot="1" x14ac:dyDescent="0.35">
      <c r="A33" s="2" t="s">
        <v>49</v>
      </c>
      <c r="B33" s="2" t="s">
        <v>56</v>
      </c>
      <c r="C33" s="2" t="s">
        <v>34</v>
      </c>
      <c r="D33" s="2" t="s">
        <v>12</v>
      </c>
      <c r="E33" s="3">
        <v>1023.21</v>
      </c>
      <c r="F33" s="3">
        <v>18</v>
      </c>
      <c r="G33" s="3">
        <v>0.05</v>
      </c>
      <c r="H33" s="4">
        <v>45428</v>
      </c>
      <c r="I33" s="3">
        <v>388.82</v>
      </c>
      <c r="K33">
        <f t="shared" si="0"/>
        <v>18417.78</v>
      </c>
      <c r="L33" s="11">
        <f t="shared" ca="1" si="1"/>
        <v>46301.680254861109</v>
      </c>
      <c r="O33" t="str">
        <v>CUST021</v>
      </c>
      <c r="P33" t="str">
        <v>Mary Jackson</v>
      </c>
      <c r="Q33" t="str">
        <v>North</v>
      </c>
      <c r="R33" t="str">
        <v>Electronics</v>
      </c>
      <c r="S33">
        <v>1020.26</v>
      </c>
      <c r="T33">
        <v>11</v>
      </c>
      <c r="U33">
        <v>0.05</v>
      </c>
      <c r="V33">
        <v>45494</v>
      </c>
      <c r="W33">
        <v>242.31</v>
      </c>
      <c r="X33">
        <v>0</v>
      </c>
      <c r="Y33">
        <v>11222.86</v>
      </c>
    </row>
    <row r="34" spans="1:25" ht="29.4" thickBot="1" x14ac:dyDescent="0.35">
      <c r="A34" s="2" t="s">
        <v>28</v>
      </c>
      <c r="B34" s="2" t="s">
        <v>47</v>
      </c>
      <c r="C34" s="2" t="s">
        <v>11</v>
      </c>
      <c r="D34" s="2" t="s">
        <v>27</v>
      </c>
      <c r="E34" s="3">
        <v>853.72</v>
      </c>
      <c r="F34" s="3">
        <v>5</v>
      </c>
      <c r="G34" s="3">
        <v>0.15</v>
      </c>
      <c r="H34" s="4">
        <v>45428</v>
      </c>
      <c r="I34" s="3">
        <v>253.98</v>
      </c>
      <c r="K34">
        <f t="shared" si="0"/>
        <v>4268.6000000000004</v>
      </c>
      <c r="L34" s="11">
        <f t="shared" ca="1" si="1"/>
        <v>46301.680254861109</v>
      </c>
      <c r="O34" t="str">
        <v>CUST020</v>
      </c>
      <c r="P34" t="str">
        <v>Linda Moore</v>
      </c>
      <c r="Q34" t="str">
        <v>South</v>
      </c>
      <c r="R34" t="str">
        <v>Office Supplies</v>
      </c>
      <c r="S34">
        <v>981.2</v>
      </c>
      <c r="T34">
        <v>19</v>
      </c>
      <c r="U34">
        <v>0</v>
      </c>
      <c r="V34">
        <v>45504</v>
      </c>
      <c r="W34">
        <v>441.54</v>
      </c>
      <c r="X34">
        <v>0</v>
      </c>
      <c r="Y34">
        <v>18642.8</v>
      </c>
    </row>
    <row r="35" spans="1:25" ht="29.4" thickBot="1" x14ac:dyDescent="0.35">
      <c r="A35" s="2" t="s">
        <v>57</v>
      </c>
      <c r="B35" s="2" t="s">
        <v>43</v>
      </c>
      <c r="C35" s="2" t="s">
        <v>20</v>
      </c>
      <c r="D35" s="2" t="s">
        <v>21</v>
      </c>
      <c r="E35" s="3">
        <v>967.89</v>
      </c>
      <c r="F35" s="3">
        <v>10</v>
      </c>
      <c r="G35" s="3">
        <v>0.1</v>
      </c>
      <c r="H35" s="4">
        <v>45429</v>
      </c>
      <c r="I35" s="3">
        <v>217.78</v>
      </c>
      <c r="K35">
        <f t="shared" si="0"/>
        <v>9678.9</v>
      </c>
      <c r="L35" s="11">
        <f t="shared" ca="1" si="1"/>
        <v>46301.680254861109</v>
      </c>
      <c r="O35" t="str">
        <v>CUST024</v>
      </c>
      <c r="P35" t="str">
        <v>Emma Davis</v>
      </c>
      <c r="Q35" t="str">
        <v>West</v>
      </c>
      <c r="R35" t="str">
        <v>Electronics</v>
      </c>
      <c r="S35">
        <v>1526.6</v>
      </c>
      <c r="T35">
        <v>13</v>
      </c>
      <c r="U35">
        <v>0.2</v>
      </c>
      <c r="V35">
        <v>45512</v>
      </c>
      <c r="W35">
        <v>305.32</v>
      </c>
      <c r="X35">
        <v>0</v>
      </c>
      <c r="Y35">
        <v>19845.8</v>
      </c>
    </row>
    <row r="36" spans="1:25" ht="29.4" thickBot="1" x14ac:dyDescent="0.35">
      <c r="A36" s="2" t="s">
        <v>58</v>
      </c>
      <c r="B36" s="2" t="s">
        <v>53</v>
      </c>
      <c r="C36" s="2" t="s">
        <v>24</v>
      </c>
      <c r="D36" s="2" t="s">
        <v>39</v>
      </c>
      <c r="E36" s="3">
        <v>1200.9000000000001</v>
      </c>
      <c r="F36" s="3">
        <v>14</v>
      </c>
      <c r="G36" s="3">
        <v>0.05</v>
      </c>
      <c r="H36" s="4">
        <v>45429</v>
      </c>
      <c r="I36" s="3">
        <v>513.38</v>
      </c>
      <c r="K36">
        <f t="shared" si="0"/>
        <v>16812.600000000002</v>
      </c>
      <c r="L36" s="11">
        <f t="shared" ca="1" si="1"/>
        <v>46301.680254861109</v>
      </c>
      <c r="O36" t="str">
        <v>CUST030</v>
      </c>
      <c r="P36" t="str">
        <v>Mary Davis</v>
      </c>
      <c r="Q36" t="str">
        <v>East</v>
      </c>
      <c r="R36" t="str">
        <v>Clothing</v>
      </c>
      <c r="S36">
        <v>1291.47</v>
      </c>
      <c r="T36">
        <v>18</v>
      </c>
      <c r="U36">
        <v>0.1</v>
      </c>
      <c r="V36">
        <v>45526</v>
      </c>
      <c r="W36">
        <v>581.16</v>
      </c>
      <c r="X36">
        <v>0</v>
      </c>
      <c r="Y36">
        <v>23246.46</v>
      </c>
    </row>
    <row r="37" spans="1:25" ht="29.4" thickBot="1" x14ac:dyDescent="0.35">
      <c r="A37" s="2" t="s">
        <v>13</v>
      </c>
      <c r="B37" s="2" t="s">
        <v>26</v>
      </c>
      <c r="C37" s="2" t="s">
        <v>11</v>
      </c>
      <c r="D37" s="2" t="s">
        <v>12</v>
      </c>
      <c r="E37" s="3">
        <v>472.38</v>
      </c>
      <c r="F37" s="3">
        <v>12</v>
      </c>
      <c r="G37" s="3">
        <v>0.2</v>
      </c>
      <c r="H37" s="4">
        <v>45429</v>
      </c>
      <c r="I37" s="3">
        <v>151.16</v>
      </c>
      <c r="K37">
        <f t="shared" si="0"/>
        <v>5668.5599999999995</v>
      </c>
      <c r="L37" s="11">
        <f t="shared" ca="1" si="1"/>
        <v>46301.680254861109</v>
      </c>
      <c r="O37" t="str">
        <v>CUST007</v>
      </c>
      <c r="P37" t="str">
        <v>David Brown</v>
      </c>
      <c r="Q37" t="str">
        <v>North</v>
      </c>
      <c r="R37" t="str">
        <v>Books</v>
      </c>
      <c r="S37">
        <v>679.71</v>
      </c>
      <c r="T37">
        <v>19</v>
      </c>
      <c r="U37">
        <v>0</v>
      </c>
      <c r="V37">
        <v>45534</v>
      </c>
      <c r="W37">
        <v>271.88</v>
      </c>
      <c r="X37">
        <v>0</v>
      </c>
      <c r="Y37">
        <v>12914.490000000002</v>
      </c>
    </row>
    <row r="38" spans="1:25" ht="29.4" thickBot="1" x14ac:dyDescent="0.35">
      <c r="A38" s="2" t="s">
        <v>9</v>
      </c>
      <c r="B38" s="2" t="s">
        <v>55</v>
      </c>
      <c r="C38" s="2" t="s">
        <v>18</v>
      </c>
      <c r="D38" s="2" t="s">
        <v>39</v>
      </c>
      <c r="E38" s="3">
        <v>840.92</v>
      </c>
      <c r="F38" s="3">
        <v>9</v>
      </c>
      <c r="G38" s="3">
        <v>0.05</v>
      </c>
      <c r="H38" s="4">
        <v>45429</v>
      </c>
      <c r="I38" s="3">
        <v>359.49</v>
      </c>
      <c r="K38">
        <f t="shared" si="0"/>
        <v>7568.28</v>
      </c>
      <c r="L38" s="11">
        <f t="shared" ca="1" si="1"/>
        <v>46301.680254861109</v>
      </c>
      <c r="O38" t="str">
        <v>CUST020</v>
      </c>
      <c r="P38" t="str">
        <v>Linda Jackson</v>
      </c>
      <c r="Q38" t="str">
        <v>East</v>
      </c>
      <c r="R38" t="str">
        <v>Furniture</v>
      </c>
      <c r="S38">
        <v>1143.69</v>
      </c>
      <c r="T38">
        <v>17</v>
      </c>
      <c r="U38">
        <v>0</v>
      </c>
      <c r="V38">
        <v>45534</v>
      </c>
      <c r="W38">
        <v>400.29</v>
      </c>
      <c r="X38">
        <v>0</v>
      </c>
      <c r="Y38">
        <v>19442.73</v>
      </c>
    </row>
    <row r="39" spans="1:25" ht="15" thickBot="1" x14ac:dyDescent="0.35">
      <c r="A39" s="2" t="s">
        <v>52</v>
      </c>
      <c r="B39" s="2" t="s">
        <v>48</v>
      </c>
      <c r="C39" s="2" t="s">
        <v>34</v>
      </c>
      <c r="D39" s="2" t="s">
        <v>27</v>
      </c>
      <c r="E39" s="3">
        <v>1410.06</v>
      </c>
      <c r="F39" s="3">
        <v>11</v>
      </c>
      <c r="G39" s="3">
        <v>0.05</v>
      </c>
      <c r="H39" s="4">
        <v>45434</v>
      </c>
      <c r="I39" s="3">
        <v>468.84</v>
      </c>
      <c r="K39">
        <f t="shared" si="0"/>
        <v>15510.66</v>
      </c>
      <c r="L39" s="11">
        <f t="shared" ca="1" si="1"/>
        <v>46301.680254861109</v>
      </c>
      <c r="O39" t="str">
        <v>CUST003</v>
      </c>
      <c r="P39" t="str">
        <v>James Davis</v>
      </c>
      <c r="Q39" t="str">
        <v>South</v>
      </c>
      <c r="R39" t="str">
        <v>Electronics</v>
      </c>
      <c r="S39">
        <v>1335.87</v>
      </c>
      <c r="T39">
        <v>17</v>
      </c>
      <c r="U39">
        <v>0</v>
      </c>
      <c r="V39">
        <v>45544</v>
      </c>
      <c r="W39">
        <v>333.97</v>
      </c>
      <c r="X39">
        <v>0</v>
      </c>
      <c r="Y39">
        <v>22709.789999999997</v>
      </c>
    </row>
    <row r="40" spans="1:25" ht="29.4" thickBot="1" x14ac:dyDescent="0.35">
      <c r="A40" s="2" t="s">
        <v>44</v>
      </c>
      <c r="B40" s="2" t="s">
        <v>59</v>
      </c>
      <c r="C40" s="2" t="s">
        <v>34</v>
      </c>
      <c r="D40" s="2" t="s">
        <v>27</v>
      </c>
      <c r="E40" s="3">
        <v>773.09</v>
      </c>
      <c r="F40" s="3">
        <v>13</v>
      </c>
      <c r="G40" s="3">
        <v>0.15</v>
      </c>
      <c r="H40" s="4">
        <v>45434</v>
      </c>
      <c r="I40" s="3">
        <v>229.99</v>
      </c>
      <c r="K40">
        <f t="shared" si="0"/>
        <v>10050.17</v>
      </c>
      <c r="L40" s="11">
        <f t="shared" ca="1" si="1"/>
        <v>46301.680254861109</v>
      </c>
      <c r="O40" t="str">
        <v>CUST004</v>
      </c>
      <c r="P40" t="str">
        <v>Sarah Davis</v>
      </c>
      <c r="Q40" t="str">
        <v>West</v>
      </c>
      <c r="R40" t="str">
        <v>Office Supplies</v>
      </c>
      <c r="S40">
        <v>1443.98</v>
      </c>
      <c r="T40">
        <v>19</v>
      </c>
      <c r="U40">
        <v>0</v>
      </c>
      <c r="V40">
        <v>45547</v>
      </c>
      <c r="W40">
        <v>649.79</v>
      </c>
      <c r="X40">
        <v>0</v>
      </c>
      <c r="Y40">
        <v>27435.62</v>
      </c>
    </row>
    <row r="41" spans="1:25" ht="29.4" thickBot="1" x14ac:dyDescent="0.35">
      <c r="A41" s="2" t="s">
        <v>60</v>
      </c>
      <c r="B41" s="2" t="s">
        <v>61</v>
      </c>
      <c r="C41" s="2" t="s">
        <v>18</v>
      </c>
      <c r="D41" s="2" t="s">
        <v>12</v>
      </c>
      <c r="E41" s="3">
        <v>580.42999999999995</v>
      </c>
      <c r="F41" s="3">
        <v>19</v>
      </c>
      <c r="G41" s="3">
        <v>0.15</v>
      </c>
      <c r="H41" s="4">
        <v>45435</v>
      </c>
      <c r="I41" s="3">
        <v>197.35</v>
      </c>
      <c r="K41">
        <f t="shared" si="0"/>
        <v>11028.169999999998</v>
      </c>
      <c r="L41" s="11">
        <f t="shared" ca="1" si="1"/>
        <v>46301.680254861109</v>
      </c>
      <c r="O41" t="str">
        <v>CUST023</v>
      </c>
      <c r="P41" t="str">
        <v>James Wilson</v>
      </c>
      <c r="Q41" t="str">
        <v>East</v>
      </c>
      <c r="R41" t="str">
        <v>Office Supplies</v>
      </c>
      <c r="S41">
        <v>1154.33</v>
      </c>
      <c r="T41">
        <v>11</v>
      </c>
      <c r="U41">
        <v>0.15</v>
      </c>
      <c r="V41">
        <v>45549</v>
      </c>
      <c r="W41">
        <v>441.53</v>
      </c>
      <c r="X41">
        <v>0</v>
      </c>
      <c r="Y41">
        <v>12697.63</v>
      </c>
    </row>
    <row r="42" spans="1:25" ht="29.4" thickBot="1" x14ac:dyDescent="0.35">
      <c r="A42" s="2" t="s">
        <v>19</v>
      </c>
      <c r="B42" s="2" t="s">
        <v>42</v>
      </c>
      <c r="C42" s="2" t="s">
        <v>20</v>
      </c>
      <c r="D42" s="2" t="s">
        <v>12</v>
      </c>
      <c r="E42" s="3">
        <v>1151.21</v>
      </c>
      <c r="F42" s="3">
        <v>15</v>
      </c>
      <c r="G42" s="3">
        <v>0.1</v>
      </c>
      <c r="H42" s="4">
        <v>45445</v>
      </c>
      <c r="I42" s="3">
        <v>414.44</v>
      </c>
      <c r="K42">
        <f t="shared" si="0"/>
        <v>17268.150000000001</v>
      </c>
      <c r="L42" s="11">
        <f t="shared" ca="1" si="1"/>
        <v>46301.680254861109</v>
      </c>
      <c r="O42" t="str">
        <v>CUST022</v>
      </c>
      <c r="P42" t="str">
        <v>Linda Brown</v>
      </c>
      <c r="Q42" t="str">
        <v>South</v>
      </c>
      <c r="R42" t="str">
        <v>Books</v>
      </c>
      <c r="S42">
        <v>1264.49</v>
      </c>
      <c r="T42">
        <v>16</v>
      </c>
      <c r="U42">
        <v>0.05</v>
      </c>
      <c r="V42">
        <v>45549</v>
      </c>
      <c r="W42">
        <v>480.51</v>
      </c>
      <c r="X42">
        <v>0</v>
      </c>
      <c r="Y42">
        <v>20231.84</v>
      </c>
    </row>
    <row r="43" spans="1:25" ht="29.4" thickBot="1" x14ac:dyDescent="0.35">
      <c r="A43" s="2" t="s">
        <v>52</v>
      </c>
      <c r="B43" s="2" t="s">
        <v>23</v>
      </c>
      <c r="C43" s="2" t="s">
        <v>34</v>
      </c>
      <c r="D43" s="2" t="s">
        <v>39</v>
      </c>
      <c r="E43" s="3">
        <v>1025.98</v>
      </c>
      <c r="F43" s="3">
        <v>5</v>
      </c>
      <c r="G43" s="3">
        <v>0.2</v>
      </c>
      <c r="H43" s="4">
        <v>45447</v>
      </c>
      <c r="I43" s="3">
        <v>369.35</v>
      </c>
      <c r="K43">
        <f t="shared" si="0"/>
        <v>5129.8999999999996</v>
      </c>
      <c r="L43" s="11">
        <f t="shared" ca="1" si="1"/>
        <v>46301.680254861109</v>
      </c>
      <c r="O43" t="str">
        <v>CUST027</v>
      </c>
      <c r="P43" t="str">
        <v>Emma Davis</v>
      </c>
      <c r="Q43" t="str">
        <v>East</v>
      </c>
      <c r="R43" t="str">
        <v>Office Supplies</v>
      </c>
      <c r="S43">
        <v>875.41</v>
      </c>
      <c r="T43">
        <v>13</v>
      </c>
      <c r="U43">
        <v>0.15</v>
      </c>
      <c r="V43">
        <v>45552</v>
      </c>
      <c r="W43">
        <v>334.84</v>
      </c>
      <c r="X43">
        <v>0</v>
      </c>
      <c r="Y43">
        <v>11380.33</v>
      </c>
    </row>
    <row r="44" spans="1:25" ht="29.4" thickBot="1" x14ac:dyDescent="0.35">
      <c r="A44" s="2" t="s">
        <v>40</v>
      </c>
      <c r="B44" s="2" t="s">
        <v>56</v>
      </c>
      <c r="C44" s="2" t="s">
        <v>18</v>
      </c>
      <c r="D44" s="2" t="s">
        <v>39</v>
      </c>
      <c r="E44" s="3">
        <v>556.41999999999996</v>
      </c>
      <c r="F44" s="3">
        <v>11</v>
      </c>
      <c r="G44" s="3">
        <v>0.15</v>
      </c>
      <c r="H44" s="4">
        <v>45447</v>
      </c>
      <c r="I44" s="3">
        <v>212.83</v>
      </c>
      <c r="K44">
        <f t="shared" si="0"/>
        <v>6120.62</v>
      </c>
      <c r="L44" s="11">
        <f t="shared" ca="1" si="1"/>
        <v>46301.680254861109</v>
      </c>
      <c r="O44" t="str">
        <v>CUST003</v>
      </c>
      <c r="P44" t="str">
        <v>James Wilson</v>
      </c>
      <c r="Q44" t="str">
        <v>West</v>
      </c>
      <c r="R44" t="str">
        <v>Electronics</v>
      </c>
      <c r="S44">
        <v>1158.94</v>
      </c>
      <c r="T44">
        <v>19</v>
      </c>
      <c r="U44">
        <v>0.2</v>
      </c>
      <c r="V44">
        <v>45553</v>
      </c>
      <c r="W44">
        <v>231.79</v>
      </c>
      <c r="X44">
        <v>0</v>
      </c>
      <c r="Y44">
        <v>22019.86</v>
      </c>
    </row>
    <row r="45" spans="1:25" ht="29.4" thickBot="1" x14ac:dyDescent="0.35">
      <c r="A45" s="2" t="s">
        <v>57</v>
      </c>
      <c r="B45" s="2" t="s">
        <v>23</v>
      </c>
      <c r="C45" s="2" t="s">
        <v>34</v>
      </c>
      <c r="D45" s="2" t="s">
        <v>12</v>
      </c>
      <c r="E45" s="3">
        <v>840.85</v>
      </c>
      <c r="F45" s="3">
        <v>19</v>
      </c>
      <c r="G45" s="3">
        <v>0.1</v>
      </c>
      <c r="H45" s="4">
        <v>45448</v>
      </c>
      <c r="I45" s="3">
        <v>302.70999999999998</v>
      </c>
      <c r="K45">
        <f t="shared" si="0"/>
        <v>15976.15</v>
      </c>
      <c r="L45" s="11">
        <f t="shared" ca="1" si="1"/>
        <v>46301.680254861109</v>
      </c>
      <c r="O45" t="str">
        <v>CUST021</v>
      </c>
      <c r="P45" t="str">
        <v>James Wilson</v>
      </c>
      <c r="Q45" t="str">
        <v>North</v>
      </c>
      <c r="R45" t="str">
        <v>Clothing</v>
      </c>
      <c r="S45">
        <v>1205.82</v>
      </c>
      <c r="T45">
        <v>11</v>
      </c>
      <c r="U45">
        <v>0.1</v>
      </c>
      <c r="V45">
        <v>45559</v>
      </c>
      <c r="W45">
        <v>542.62</v>
      </c>
      <c r="X45">
        <v>0</v>
      </c>
      <c r="Y45">
        <v>13264.019999999999</v>
      </c>
    </row>
    <row r="46" spans="1:25" ht="29.4" thickBot="1" x14ac:dyDescent="0.35">
      <c r="A46" s="2" t="s">
        <v>30</v>
      </c>
      <c r="B46" s="2" t="s">
        <v>61</v>
      </c>
      <c r="C46" s="2" t="s">
        <v>24</v>
      </c>
      <c r="D46" s="2" t="s">
        <v>27</v>
      </c>
      <c r="E46" s="3">
        <v>1227.25</v>
      </c>
      <c r="F46" s="3">
        <v>12</v>
      </c>
      <c r="G46" s="3">
        <v>0.15</v>
      </c>
      <c r="H46" s="4">
        <v>45448</v>
      </c>
      <c r="I46" s="3">
        <v>365.11</v>
      </c>
      <c r="K46">
        <f t="shared" si="0"/>
        <v>14727</v>
      </c>
      <c r="L46" s="11">
        <f t="shared" ca="1" si="1"/>
        <v>46301.680254861109</v>
      </c>
      <c r="O46" t="str">
        <v>CUST003</v>
      </c>
      <c r="P46" t="str">
        <v>James Wilson</v>
      </c>
      <c r="Q46" t="str">
        <v>Central</v>
      </c>
      <c r="R46" t="str">
        <v>Clothing</v>
      </c>
      <c r="S46">
        <v>902.19</v>
      </c>
      <c r="T46">
        <v>12</v>
      </c>
      <c r="U46">
        <v>0</v>
      </c>
      <c r="V46">
        <v>45564</v>
      </c>
      <c r="W46">
        <v>451.1</v>
      </c>
      <c r="X46">
        <v>0</v>
      </c>
      <c r="Y46">
        <v>10826.28</v>
      </c>
    </row>
    <row r="47" spans="1:25" ht="29.4" thickBot="1" x14ac:dyDescent="0.35">
      <c r="A47" s="2" t="s">
        <v>16</v>
      </c>
      <c r="B47" s="2" t="s">
        <v>62</v>
      </c>
      <c r="C47" s="2" t="s">
        <v>34</v>
      </c>
      <c r="D47" s="2" t="s">
        <v>21</v>
      </c>
      <c r="E47" s="3">
        <v>856.7</v>
      </c>
      <c r="F47" s="3">
        <v>2</v>
      </c>
      <c r="G47" s="3">
        <v>0</v>
      </c>
      <c r="H47" s="4">
        <v>45449</v>
      </c>
      <c r="I47" s="3">
        <v>214.18</v>
      </c>
      <c r="K47">
        <f t="shared" si="0"/>
        <v>1713.4</v>
      </c>
      <c r="L47" s="11">
        <f t="shared" ca="1" si="1"/>
        <v>46301.680254861109</v>
      </c>
      <c r="O47" t="str">
        <v>CUST027</v>
      </c>
      <c r="P47" t="str">
        <v>Emma Davis</v>
      </c>
      <c r="Q47" t="str">
        <v>North</v>
      </c>
      <c r="R47" t="str">
        <v>Books</v>
      </c>
      <c r="S47">
        <v>585.97</v>
      </c>
      <c r="T47">
        <v>17</v>
      </c>
      <c r="U47">
        <v>0.1</v>
      </c>
      <c r="V47">
        <v>45565</v>
      </c>
      <c r="W47">
        <v>210.95</v>
      </c>
      <c r="X47">
        <v>0</v>
      </c>
      <c r="Y47">
        <v>9961.49</v>
      </c>
    </row>
    <row r="48" spans="1:25" ht="29.4" thickBot="1" x14ac:dyDescent="0.35">
      <c r="A48" s="2" t="s">
        <v>54</v>
      </c>
      <c r="B48" s="2" t="s">
        <v>56</v>
      </c>
      <c r="C48" s="2" t="s">
        <v>34</v>
      </c>
      <c r="D48" s="2" t="s">
        <v>39</v>
      </c>
      <c r="E48" s="3">
        <v>1225.42</v>
      </c>
      <c r="F48" s="3">
        <v>8</v>
      </c>
      <c r="G48" s="3">
        <v>0.15</v>
      </c>
      <c r="H48" s="4">
        <v>45449</v>
      </c>
      <c r="I48" s="3">
        <v>468.72</v>
      </c>
      <c r="K48">
        <f t="shared" si="0"/>
        <v>9803.36</v>
      </c>
      <c r="L48" s="11">
        <f t="shared" ca="1" si="1"/>
        <v>46301.680254861109</v>
      </c>
      <c r="O48" t="str">
        <v>CUST008</v>
      </c>
      <c r="P48" t="str">
        <v>David Davis</v>
      </c>
      <c r="Q48" t="str">
        <v>Central</v>
      </c>
      <c r="R48" t="str">
        <v>Electronics</v>
      </c>
      <c r="S48">
        <v>1014.09</v>
      </c>
      <c r="T48">
        <v>13</v>
      </c>
      <c r="U48">
        <v>0.2</v>
      </c>
      <c r="V48">
        <v>45567</v>
      </c>
      <c r="W48">
        <v>202.82</v>
      </c>
      <c r="X48">
        <v>0</v>
      </c>
      <c r="Y48">
        <v>13183.17</v>
      </c>
    </row>
    <row r="49" spans="1:25" ht="29.4" thickBot="1" x14ac:dyDescent="0.35">
      <c r="A49" s="2" t="s">
        <v>63</v>
      </c>
      <c r="B49" s="2" t="s">
        <v>31</v>
      </c>
      <c r="C49" s="2" t="s">
        <v>24</v>
      </c>
      <c r="D49" s="2" t="s">
        <v>39</v>
      </c>
      <c r="E49" s="3">
        <v>1001.57</v>
      </c>
      <c r="F49" s="3">
        <v>12</v>
      </c>
      <c r="G49" s="3">
        <v>0</v>
      </c>
      <c r="H49" s="4">
        <v>45450</v>
      </c>
      <c r="I49" s="3">
        <v>450.71</v>
      </c>
      <c r="K49">
        <f t="shared" si="0"/>
        <v>12018.84</v>
      </c>
      <c r="L49" s="11">
        <f t="shared" ca="1" si="1"/>
        <v>46301.680254861109</v>
      </c>
      <c r="O49" t="str">
        <v>CUST012</v>
      </c>
      <c r="P49" t="str">
        <v>Lisa Davis</v>
      </c>
      <c r="Q49" t="str">
        <v>North</v>
      </c>
      <c r="R49" t="str">
        <v>Electronics</v>
      </c>
      <c r="S49">
        <v>925.29</v>
      </c>
      <c r="T49">
        <v>17</v>
      </c>
      <c r="U49">
        <v>0</v>
      </c>
      <c r="V49">
        <v>45570</v>
      </c>
      <c r="W49">
        <v>231.32</v>
      </c>
      <c r="X49">
        <v>0</v>
      </c>
      <c r="Y49">
        <v>15729.93</v>
      </c>
    </row>
    <row r="50" spans="1:25" ht="29.4" thickBot="1" x14ac:dyDescent="0.35">
      <c r="A50" s="2" t="s">
        <v>57</v>
      </c>
      <c r="B50" s="2" t="s">
        <v>26</v>
      </c>
      <c r="C50" s="2" t="s">
        <v>18</v>
      </c>
      <c r="D50" s="2" t="s">
        <v>27</v>
      </c>
      <c r="E50" s="3">
        <v>1186.8499999999999</v>
      </c>
      <c r="F50" s="3">
        <v>19</v>
      </c>
      <c r="G50" s="3">
        <v>0.2</v>
      </c>
      <c r="H50" s="4">
        <v>45451</v>
      </c>
      <c r="I50" s="3">
        <v>332.32</v>
      </c>
      <c r="K50">
        <f t="shared" si="0"/>
        <v>22550.149999999998</v>
      </c>
      <c r="L50" s="11">
        <f t="shared" ca="1" si="1"/>
        <v>46301.680254861109</v>
      </c>
      <c r="O50" t="str">
        <v>CUST025</v>
      </c>
      <c r="P50" t="str">
        <v>Mary Jackson</v>
      </c>
      <c r="Q50" t="str">
        <v>East</v>
      </c>
      <c r="R50" t="str">
        <v>Furniture</v>
      </c>
      <c r="S50">
        <v>1286.54</v>
      </c>
      <c r="T50">
        <v>8</v>
      </c>
      <c r="U50">
        <v>0</v>
      </c>
      <c r="V50">
        <v>45575</v>
      </c>
      <c r="W50">
        <v>450.29</v>
      </c>
      <c r="X50">
        <v>0</v>
      </c>
      <c r="Y50">
        <v>10292.32</v>
      </c>
    </row>
    <row r="51" spans="1:25" ht="29.4" thickBot="1" x14ac:dyDescent="0.35">
      <c r="A51" s="2" t="s">
        <v>44</v>
      </c>
      <c r="B51" s="2" t="s">
        <v>51</v>
      </c>
      <c r="C51" s="2" t="s">
        <v>20</v>
      </c>
      <c r="D51" s="2" t="s">
        <v>21</v>
      </c>
      <c r="E51" s="3">
        <v>775.45</v>
      </c>
      <c r="F51" s="3">
        <v>6</v>
      </c>
      <c r="G51" s="3">
        <v>0.1</v>
      </c>
      <c r="H51" s="4">
        <v>45457</v>
      </c>
      <c r="I51" s="3">
        <v>174.48</v>
      </c>
      <c r="K51">
        <f t="shared" si="0"/>
        <v>4652.7000000000007</v>
      </c>
      <c r="L51" s="11">
        <f t="shared" ca="1" si="1"/>
        <v>46301.680254861109</v>
      </c>
      <c r="O51" t="str">
        <v>CUST008</v>
      </c>
      <c r="P51" t="str">
        <v>James Wilson</v>
      </c>
      <c r="Q51" t="str">
        <v>East</v>
      </c>
      <c r="R51" t="str">
        <v>Books</v>
      </c>
      <c r="S51">
        <v>1081.1400000000001</v>
      </c>
      <c r="T51">
        <v>19</v>
      </c>
      <c r="U51">
        <v>0.15</v>
      </c>
      <c r="V51">
        <v>45577</v>
      </c>
      <c r="W51">
        <v>367.59</v>
      </c>
      <c r="X51">
        <v>0</v>
      </c>
      <c r="Y51">
        <v>20541.660000000003</v>
      </c>
    </row>
    <row r="52" spans="1:25" ht="29.4" thickBot="1" x14ac:dyDescent="0.35">
      <c r="A52" s="2" t="s">
        <v>25</v>
      </c>
      <c r="B52" s="2" t="s">
        <v>33</v>
      </c>
      <c r="C52" s="2" t="s">
        <v>20</v>
      </c>
      <c r="D52" s="2" t="s">
        <v>21</v>
      </c>
      <c r="E52" s="3">
        <v>1021.47</v>
      </c>
      <c r="F52" s="3">
        <v>6</v>
      </c>
      <c r="G52" s="3">
        <v>0.05</v>
      </c>
      <c r="H52" s="4">
        <v>45461</v>
      </c>
      <c r="I52" s="3">
        <v>242.6</v>
      </c>
      <c r="K52">
        <f t="shared" si="0"/>
        <v>6128.82</v>
      </c>
      <c r="L52" s="11">
        <f t="shared" ca="1" si="1"/>
        <v>46301.680254861109</v>
      </c>
      <c r="O52" t="str">
        <v>CUST015</v>
      </c>
      <c r="P52" t="str">
        <v>James Wilson</v>
      </c>
      <c r="Q52" t="str">
        <v>West</v>
      </c>
      <c r="R52" t="str">
        <v>Clothing</v>
      </c>
      <c r="S52">
        <v>1923.66</v>
      </c>
      <c r="T52">
        <v>9</v>
      </c>
      <c r="U52">
        <v>0.2</v>
      </c>
      <c r="V52">
        <v>45580</v>
      </c>
      <c r="W52">
        <v>769.46</v>
      </c>
      <c r="X52">
        <v>0</v>
      </c>
      <c r="Y52">
        <v>17312.940000000002</v>
      </c>
    </row>
    <row r="53" spans="1:25" ht="29.4" thickBot="1" x14ac:dyDescent="0.35">
      <c r="A53" s="2" t="s">
        <v>58</v>
      </c>
      <c r="B53" s="2" t="s">
        <v>23</v>
      </c>
      <c r="C53" s="2" t="s">
        <v>20</v>
      </c>
      <c r="D53" s="2" t="s">
        <v>15</v>
      </c>
      <c r="E53" s="3">
        <v>1226.6199999999999</v>
      </c>
      <c r="F53" s="3">
        <v>7</v>
      </c>
      <c r="G53" s="3">
        <v>0.1</v>
      </c>
      <c r="H53" s="4">
        <v>45463</v>
      </c>
      <c r="I53" s="3">
        <v>551.98</v>
      </c>
      <c r="K53">
        <f t="shared" si="0"/>
        <v>8586.34</v>
      </c>
      <c r="L53" s="11">
        <f t="shared" ca="1" si="1"/>
        <v>46301.680254861109</v>
      </c>
      <c r="O53" t="str">
        <v>CUST025</v>
      </c>
      <c r="P53" t="str">
        <v>Emma Taylor</v>
      </c>
      <c r="Q53" t="str">
        <v>Central</v>
      </c>
      <c r="R53" t="str">
        <v>Clothing</v>
      </c>
      <c r="S53">
        <v>728.71</v>
      </c>
      <c r="T53">
        <v>14</v>
      </c>
      <c r="U53">
        <v>0.1</v>
      </c>
      <c r="V53">
        <v>45581</v>
      </c>
      <c r="W53">
        <v>327.92</v>
      </c>
      <c r="X53">
        <v>0</v>
      </c>
      <c r="Y53">
        <v>10201.94</v>
      </c>
    </row>
    <row r="54" spans="1:25" ht="29.4" thickBot="1" x14ac:dyDescent="0.35">
      <c r="A54" s="2" t="s">
        <v>22</v>
      </c>
      <c r="B54" s="2" t="s">
        <v>64</v>
      </c>
      <c r="C54" s="2" t="s">
        <v>20</v>
      </c>
      <c r="D54" s="2" t="s">
        <v>27</v>
      </c>
      <c r="E54" s="3">
        <v>1086.93</v>
      </c>
      <c r="F54" s="3">
        <v>2</v>
      </c>
      <c r="G54" s="3">
        <v>0</v>
      </c>
      <c r="H54" s="4">
        <v>45464</v>
      </c>
      <c r="I54" s="3">
        <v>380.43</v>
      </c>
      <c r="K54">
        <f t="shared" si="0"/>
        <v>2173.86</v>
      </c>
      <c r="L54" s="11">
        <f t="shared" ca="1" si="1"/>
        <v>46301.680254861109</v>
      </c>
      <c r="O54" t="str">
        <v>CUST024</v>
      </c>
      <c r="P54" t="str">
        <v>Emma Taylor</v>
      </c>
      <c r="Q54" t="str">
        <v>East</v>
      </c>
      <c r="R54" t="str">
        <v>Books</v>
      </c>
      <c r="S54">
        <v>980.18</v>
      </c>
      <c r="T54">
        <v>16</v>
      </c>
      <c r="U54">
        <v>0.1</v>
      </c>
      <c r="V54">
        <v>45582</v>
      </c>
      <c r="W54">
        <v>352.86</v>
      </c>
      <c r="X54">
        <v>0</v>
      </c>
      <c r="Y54">
        <v>15682.88</v>
      </c>
    </row>
    <row r="55" spans="1:25" ht="15" thickBot="1" x14ac:dyDescent="0.35">
      <c r="A55" s="2" t="s">
        <v>65</v>
      </c>
      <c r="B55" s="2" t="s">
        <v>48</v>
      </c>
      <c r="C55" s="2" t="s">
        <v>11</v>
      </c>
      <c r="D55" s="2" t="s">
        <v>12</v>
      </c>
      <c r="E55" s="3">
        <v>942.9</v>
      </c>
      <c r="F55" s="3">
        <v>18</v>
      </c>
      <c r="G55" s="3">
        <v>0.1</v>
      </c>
      <c r="H55" s="4">
        <v>45466</v>
      </c>
      <c r="I55" s="3">
        <v>339.44</v>
      </c>
      <c r="K55">
        <f t="shared" si="0"/>
        <v>16972.2</v>
      </c>
      <c r="L55" s="11">
        <f t="shared" ca="1" si="1"/>
        <v>46301.680254861109</v>
      </c>
      <c r="O55" t="str">
        <v>CUST027</v>
      </c>
      <c r="P55" t="str">
        <v>James Wilson</v>
      </c>
      <c r="Q55" t="str">
        <v>West</v>
      </c>
      <c r="R55" t="str">
        <v>Clothing</v>
      </c>
      <c r="S55">
        <v>697.57</v>
      </c>
      <c r="T55">
        <v>17</v>
      </c>
      <c r="U55">
        <v>0.1</v>
      </c>
      <c r="V55">
        <v>45584</v>
      </c>
      <c r="W55">
        <v>313.91000000000003</v>
      </c>
      <c r="X55">
        <v>0</v>
      </c>
      <c r="Y55">
        <v>11858.69</v>
      </c>
    </row>
    <row r="56" spans="1:25" ht="29.4" thickBot="1" x14ac:dyDescent="0.35">
      <c r="A56" s="2" t="s">
        <v>32</v>
      </c>
      <c r="B56" s="2" t="s">
        <v>38</v>
      </c>
      <c r="C56" s="2" t="s">
        <v>24</v>
      </c>
      <c r="D56" s="2" t="s">
        <v>21</v>
      </c>
      <c r="E56" s="3">
        <v>818.8</v>
      </c>
      <c r="F56" s="3">
        <v>15</v>
      </c>
      <c r="G56" s="3">
        <v>0.15</v>
      </c>
      <c r="H56" s="4">
        <v>45468</v>
      </c>
      <c r="I56" s="3">
        <v>173.99</v>
      </c>
      <c r="K56">
        <f t="shared" si="0"/>
        <v>12282</v>
      </c>
      <c r="L56" s="11">
        <f t="shared" ca="1" si="1"/>
        <v>46301.680254861109</v>
      </c>
      <c r="O56" t="str">
        <v>CUST012</v>
      </c>
      <c r="P56" t="str">
        <v>David Brown</v>
      </c>
      <c r="Q56" t="str">
        <v>West</v>
      </c>
      <c r="R56" t="str">
        <v>Electronics</v>
      </c>
      <c r="S56">
        <v>688.83</v>
      </c>
      <c r="T56">
        <v>15</v>
      </c>
      <c r="U56">
        <v>0</v>
      </c>
      <c r="V56">
        <v>45595</v>
      </c>
      <c r="W56">
        <v>172.21</v>
      </c>
      <c r="X56">
        <v>0</v>
      </c>
      <c r="Y56">
        <v>10332.450000000001</v>
      </c>
    </row>
    <row r="57" spans="1:25" ht="29.4" thickBot="1" x14ac:dyDescent="0.35">
      <c r="A57" s="2" t="s">
        <v>19</v>
      </c>
      <c r="B57" s="2" t="s">
        <v>14</v>
      </c>
      <c r="C57" s="2" t="s">
        <v>20</v>
      </c>
      <c r="D57" s="2" t="s">
        <v>27</v>
      </c>
      <c r="E57" s="3">
        <v>919.04</v>
      </c>
      <c r="F57" s="3">
        <v>10</v>
      </c>
      <c r="G57" s="3">
        <v>0.2</v>
      </c>
      <c r="H57" s="4">
        <v>45468</v>
      </c>
      <c r="I57" s="3">
        <v>257.33</v>
      </c>
      <c r="K57">
        <f t="shared" si="0"/>
        <v>9190.4</v>
      </c>
      <c r="L57" s="11">
        <f t="shared" ca="1" si="1"/>
        <v>46301.680254861109</v>
      </c>
      <c r="O57" t="str">
        <v>CUST008</v>
      </c>
      <c r="P57" t="str">
        <v>James Wilson</v>
      </c>
      <c r="Q57" t="str">
        <v>East</v>
      </c>
      <c r="R57" t="str">
        <v>Office Supplies</v>
      </c>
      <c r="S57">
        <v>1014.22</v>
      </c>
      <c r="T57">
        <v>14</v>
      </c>
      <c r="U57">
        <v>0.05</v>
      </c>
      <c r="V57">
        <v>45599</v>
      </c>
      <c r="W57">
        <v>433.58</v>
      </c>
      <c r="X57">
        <v>0</v>
      </c>
      <c r="Y57">
        <v>14199.08</v>
      </c>
    </row>
    <row r="58" spans="1:25" ht="29.4" thickBot="1" x14ac:dyDescent="0.35">
      <c r="A58" s="2" t="s">
        <v>22</v>
      </c>
      <c r="B58" s="2" t="s">
        <v>66</v>
      </c>
      <c r="C58" s="2" t="s">
        <v>34</v>
      </c>
      <c r="D58" s="2" t="s">
        <v>12</v>
      </c>
      <c r="E58" s="3">
        <v>973.26</v>
      </c>
      <c r="F58" s="3">
        <v>11</v>
      </c>
      <c r="G58" s="3">
        <v>0</v>
      </c>
      <c r="H58" s="4">
        <v>45470</v>
      </c>
      <c r="I58" s="3">
        <v>389.3</v>
      </c>
      <c r="K58">
        <f t="shared" si="0"/>
        <v>10705.86</v>
      </c>
      <c r="L58" s="11">
        <f t="shared" ca="1" si="1"/>
        <v>46301.680254861109</v>
      </c>
      <c r="O58" t="str">
        <v>CUST025</v>
      </c>
      <c r="P58" t="str">
        <v>Lisa Thomas</v>
      </c>
      <c r="Q58" t="str">
        <v>East</v>
      </c>
      <c r="R58" t="str">
        <v>Office Supplies</v>
      </c>
      <c r="S58">
        <v>1014.56</v>
      </c>
      <c r="T58">
        <v>10</v>
      </c>
      <c r="U58">
        <v>0.1</v>
      </c>
      <c r="V58">
        <v>45612</v>
      </c>
      <c r="W58">
        <v>410.9</v>
      </c>
      <c r="X58">
        <v>0</v>
      </c>
      <c r="Y58">
        <v>10145.599999999999</v>
      </c>
    </row>
    <row r="59" spans="1:25" ht="29.4" thickBot="1" x14ac:dyDescent="0.35">
      <c r="A59" s="2" t="s">
        <v>41</v>
      </c>
      <c r="B59" s="2" t="s">
        <v>64</v>
      </c>
      <c r="C59" s="2" t="s">
        <v>24</v>
      </c>
      <c r="D59" s="2" t="s">
        <v>21</v>
      </c>
      <c r="E59" s="3">
        <v>741.61</v>
      </c>
      <c r="F59" s="3">
        <v>1</v>
      </c>
      <c r="G59" s="3">
        <v>0.2</v>
      </c>
      <c r="H59" s="4">
        <v>45471</v>
      </c>
      <c r="I59" s="3">
        <v>148.32</v>
      </c>
      <c r="K59">
        <f t="shared" si="0"/>
        <v>741.61</v>
      </c>
      <c r="L59" s="11">
        <f t="shared" ca="1" si="1"/>
        <v>46301.680254861109</v>
      </c>
      <c r="O59" t="str">
        <v>CUST019</v>
      </c>
      <c r="P59" t="str">
        <v>James Taylor</v>
      </c>
      <c r="Q59" t="str">
        <v>South</v>
      </c>
      <c r="R59" t="str">
        <v>Electronics</v>
      </c>
      <c r="S59">
        <v>718.04</v>
      </c>
      <c r="T59">
        <v>14</v>
      </c>
      <c r="U59">
        <v>0</v>
      </c>
      <c r="V59">
        <v>45613</v>
      </c>
      <c r="W59">
        <v>179.51</v>
      </c>
      <c r="X59">
        <v>0</v>
      </c>
      <c r="Y59">
        <v>10052.56</v>
      </c>
    </row>
    <row r="60" spans="1:25" ht="29.4" thickBot="1" x14ac:dyDescent="0.35">
      <c r="A60" s="2" t="s">
        <v>67</v>
      </c>
      <c r="B60" s="2" t="s">
        <v>38</v>
      </c>
      <c r="C60" s="2" t="s">
        <v>24</v>
      </c>
      <c r="D60" s="2" t="s">
        <v>12</v>
      </c>
      <c r="E60" s="3">
        <v>1248.82</v>
      </c>
      <c r="F60" s="3">
        <v>2</v>
      </c>
      <c r="G60" s="3">
        <v>0.1</v>
      </c>
      <c r="H60" s="4">
        <v>45473</v>
      </c>
      <c r="I60" s="3">
        <v>449.58</v>
      </c>
      <c r="K60">
        <f t="shared" si="0"/>
        <v>2497.64</v>
      </c>
      <c r="L60" s="11">
        <f t="shared" ca="1" si="1"/>
        <v>46301.680254861109</v>
      </c>
      <c r="O60" t="str">
        <v>CUST004</v>
      </c>
      <c r="P60" t="str">
        <v>James Taylor</v>
      </c>
      <c r="Q60" t="str">
        <v>Central</v>
      </c>
      <c r="R60" t="str">
        <v>Clothing</v>
      </c>
      <c r="S60">
        <v>1277.8499999999999</v>
      </c>
      <c r="T60">
        <v>18</v>
      </c>
      <c r="U60">
        <v>0.2</v>
      </c>
      <c r="V60">
        <v>45613</v>
      </c>
      <c r="W60">
        <v>511.14</v>
      </c>
      <c r="X60">
        <v>0</v>
      </c>
      <c r="Y60">
        <v>23001.3</v>
      </c>
    </row>
    <row r="61" spans="1:25" ht="29.4" thickBot="1" x14ac:dyDescent="0.35">
      <c r="A61" s="2" t="s">
        <v>13</v>
      </c>
      <c r="B61" s="2" t="s">
        <v>59</v>
      </c>
      <c r="C61" s="2" t="s">
        <v>11</v>
      </c>
      <c r="D61" s="2" t="s">
        <v>15</v>
      </c>
      <c r="E61" s="3">
        <v>1360.36</v>
      </c>
      <c r="F61" s="3">
        <v>17</v>
      </c>
      <c r="G61" s="3">
        <v>0</v>
      </c>
      <c r="H61" s="4">
        <v>45473</v>
      </c>
      <c r="I61" s="3">
        <v>680.18</v>
      </c>
      <c r="K61">
        <f t="shared" si="0"/>
        <v>23126.12</v>
      </c>
      <c r="L61" s="11">
        <f t="shared" ca="1" si="1"/>
        <v>46301.680254861109</v>
      </c>
      <c r="O61" t="str">
        <v>CUST002</v>
      </c>
      <c r="P61" t="str">
        <v>Linda Brown</v>
      </c>
      <c r="Q61" t="str">
        <v>East</v>
      </c>
      <c r="R61" t="str">
        <v>Electronics</v>
      </c>
      <c r="S61">
        <v>1410.59</v>
      </c>
      <c r="T61">
        <v>15</v>
      </c>
      <c r="U61">
        <v>0</v>
      </c>
      <c r="V61">
        <v>45615</v>
      </c>
      <c r="W61">
        <v>352.65</v>
      </c>
      <c r="X61">
        <v>0</v>
      </c>
      <c r="Y61">
        <v>21158.85</v>
      </c>
    </row>
    <row r="62" spans="1:25" ht="29.4" thickBot="1" x14ac:dyDescent="0.35">
      <c r="A62" s="2" t="s">
        <v>57</v>
      </c>
      <c r="B62" s="2" t="s">
        <v>31</v>
      </c>
      <c r="C62" s="2" t="s">
        <v>18</v>
      </c>
      <c r="D62" s="2" t="s">
        <v>12</v>
      </c>
      <c r="E62" s="3">
        <v>1383.3</v>
      </c>
      <c r="F62" s="3">
        <v>8</v>
      </c>
      <c r="G62" s="3">
        <v>0.1</v>
      </c>
      <c r="H62" s="4">
        <v>45478</v>
      </c>
      <c r="I62" s="3">
        <v>497.99</v>
      </c>
      <c r="K62">
        <f t="shared" si="0"/>
        <v>11066.4</v>
      </c>
      <c r="L62" s="11">
        <f t="shared" ca="1" si="1"/>
        <v>46301.680254861109</v>
      </c>
      <c r="O62" t="str">
        <v>CUST009</v>
      </c>
      <c r="P62" t="str">
        <v>Emma Wilson</v>
      </c>
      <c r="Q62" t="str">
        <v>South</v>
      </c>
      <c r="R62" t="str">
        <v>Furniture</v>
      </c>
      <c r="S62">
        <v>1350.33</v>
      </c>
      <c r="T62">
        <v>10</v>
      </c>
      <c r="U62">
        <v>0</v>
      </c>
      <c r="V62">
        <v>45615</v>
      </c>
      <c r="W62">
        <v>472.62</v>
      </c>
      <c r="X62">
        <v>0</v>
      </c>
      <c r="Y62">
        <v>13503.3</v>
      </c>
    </row>
    <row r="63" spans="1:25" ht="29.4" thickBot="1" x14ac:dyDescent="0.35">
      <c r="A63" s="2" t="s">
        <v>35</v>
      </c>
      <c r="B63" s="2" t="s">
        <v>55</v>
      </c>
      <c r="C63" s="2" t="s">
        <v>34</v>
      </c>
      <c r="D63" s="2" t="s">
        <v>39</v>
      </c>
      <c r="E63" s="3">
        <v>488.99</v>
      </c>
      <c r="F63" s="3">
        <v>9</v>
      </c>
      <c r="G63" s="3">
        <v>0</v>
      </c>
      <c r="H63" s="4">
        <v>45479</v>
      </c>
      <c r="I63" s="3">
        <v>220.05</v>
      </c>
      <c r="K63">
        <f t="shared" si="0"/>
        <v>4400.91</v>
      </c>
      <c r="L63" s="11">
        <f t="shared" ca="1" si="1"/>
        <v>46301.680254861109</v>
      </c>
      <c r="O63" t="str">
        <v>CUST001</v>
      </c>
      <c r="P63" t="str">
        <v>Sarah Anderson</v>
      </c>
      <c r="Q63" t="str">
        <v>West</v>
      </c>
      <c r="R63" t="str">
        <v>Electronics</v>
      </c>
      <c r="S63">
        <v>894.55</v>
      </c>
      <c r="T63">
        <v>19</v>
      </c>
      <c r="U63">
        <v>0.2</v>
      </c>
      <c r="V63">
        <v>45625</v>
      </c>
      <c r="W63">
        <v>178.91</v>
      </c>
      <c r="X63">
        <v>0</v>
      </c>
      <c r="Y63">
        <v>16996.45</v>
      </c>
    </row>
    <row r="64" spans="1:25" ht="29.4" thickBot="1" x14ac:dyDescent="0.35">
      <c r="A64" s="2" t="s">
        <v>30</v>
      </c>
      <c r="B64" s="2" t="s">
        <v>31</v>
      </c>
      <c r="C64" s="2" t="s">
        <v>18</v>
      </c>
      <c r="D64" s="2" t="s">
        <v>27</v>
      </c>
      <c r="E64" s="3">
        <v>933.71</v>
      </c>
      <c r="F64" s="3">
        <v>17</v>
      </c>
      <c r="G64" s="3">
        <v>0.1</v>
      </c>
      <c r="H64" s="4">
        <v>45481</v>
      </c>
      <c r="I64" s="3">
        <v>294.12</v>
      </c>
      <c r="K64">
        <f t="shared" si="0"/>
        <v>15873.07</v>
      </c>
      <c r="L64" s="11">
        <f t="shared" ca="1" si="1"/>
        <v>46301.680254861109</v>
      </c>
      <c r="O64" t="str">
        <v>CUST002</v>
      </c>
      <c r="P64" t="str">
        <v>Emma Wilson</v>
      </c>
      <c r="Q64" t="str">
        <v>South</v>
      </c>
      <c r="R64" t="str">
        <v>Furniture</v>
      </c>
      <c r="S64">
        <v>806.03</v>
      </c>
      <c r="T64">
        <v>19</v>
      </c>
      <c r="U64">
        <v>0.05</v>
      </c>
      <c r="V64">
        <v>45638</v>
      </c>
      <c r="W64">
        <v>268</v>
      </c>
      <c r="X64">
        <v>0</v>
      </c>
      <c r="Y64">
        <v>15314.57</v>
      </c>
    </row>
    <row r="65" spans="1:25" ht="29.4" thickBot="1" x14ac:dyDescent="0.35">
      <c r="A65" s="2" t="s">
        <v>67</v>
      </c>
      <c r="B65" s="2" t="s">
        <v>10</v>
      </c>
      <c r="C65" s="2" t="s">
        <v>11</v>
      </c>
      <c r="D65" s="2" t="s">
        <v>21</v>
      </c>
      <c r="E65" s="3">
        <v>1005.53</v>
      </c>
      <c r="F65" s="3">
        <v>17</v>
      </c>
      <c r="G65" s="3">
        <v>0.2</v>
      </c>
      <c r="H65" s="4">
        <v>45481</v>
      </c>
      <c r="I65" s="3">
        <v>201.11</v>
      </c>
      <c r="K65">
        <f t="shared" si="0"/>
        <v>17094.009999999998</v>
      </c>
      <c r="L65" s="11">
        <f t="shared" ca="1" si="1"/>
        <v>46301.680254861109</v>
      </c>
      <c r="O65" t="str">
        <v>CUST001</v>
      </c>
      <c r="P65" t="str">
        <v>Michael Anderson</v>
      </c>
      <c r="Q65" t="str">
        <v>Central</v>
      </c>
      <c r="R65" t="str">
        <v>Furniture</v>
      </c>
      <c r="S65">
        <v>1432.47</v>
      </c>
      <c r="T65">
        <v>16</v>
      </c>
      <c r="U65">
        <v>0.15</v>
      </c>
      <c r="V65">
        <v>45640</v>
      </c>
      <c r="W65">
        <v>426.16</v>
      </c>
      <c r="X65">
        <v>0</v>
      </c>
      <c r="Y65">
        <v>22919.52</v>
      </c>
    </row>
    <row r="66" spans="1:25" ht="29.4" thickBot="1" x14ac:dyDescent="0.35">
      <c r="A66" s="2" t="s">
        <v>41</v>
      </c>
      <c r="B66" s="2" t="s">
        <v>61</v>
      </c>
      <c r="C66" s="2" t="s">
        <v>20</v>
      </c>
      <c r="D66" s="2" t="s">
        <v>21</v>
      </c>
      <c r="E66" s="3">
        <v>1100.0999999999999</v>
      </c>
      <c r="F66" s="3">
        <v>5</v>
      </c>
      <c r="G66" s="3">
        <v>0.05</v>
      </c>
      <c r="H66" s="4">
        <v>45482</v>
      </c>
      <c r="I66" s="3">
        <v>261.27</v>
      </c>
      <c r="K66">
        <f t="shared" si="0"/>
        <v>5500.5</v>
      </c>
      <c r="L66" s="11">
        <f t="shared" ca="1" si="1"/>
        <v>46301.680254861109</v>
      </c>
      <c r="O66" t="str">
        <v>CUST027</v>
      </c>
      <c r="P66" t="str">
        <v>Linda Wilson</v>
      </c>
      <c r="Q66" t="str">
        <v>Central</v>
      </c>
      <c r="R66" t="str">
        <v>Electronics</v>
      </c>
      <c r="S66">
        <v>1488.58</v>
      </c>
      <c r="T66">
        <v>10</v>
      </c>
      <c r="U66">
        <v>0.15</v>
      </c>
      <c r="V66">
        <v>45640</v>
      </c>
      <c r="W66">
        <v>316.32</v>
      </c>
      <c r="X66">
        <v>0</v>
      </c>
      <c r="Y66">
        <v>14885.8</v>
      </c>
    </row>
    <row r="67" spans="1:25" ht="29.4" thickBot="1" x14ac:dyDescent="0.35">
      <c r="A67" s="2" t="s">
        <v>67</v>
      </c>
      <c r="B67" s="2" t="s">
        <v>23</v>
      </c>
      <c r="C67" s="2" t="s">
        <v>24</v>
      </c>
      <c r="D67" s="2" t="s">
        <v>27</v>
      </c>
      <c r="E67" s="3">
        <v>1034.7</v>
      </c>
      <c r="F67" s="3">
        <v>15</v>
      </c>
      <c r="G67" s="3">
        <v>0.15</v>
      </c>
      <c r="H67" s="4">
        <v>45487</v>
      </c>
      <c r="I67" s="3">
        <v>307.82</v>
      </c>
      <c r="K67">
        <f t="shared" ref="K67:K130" si="3">E67*F67</f>
        <v>15520.5</v>
      </c>
      <c r="L67" s="11">
        <f t="shared" ref="L67:L130" ca="1" si="4">NOW()</f>
        <v>46301.680254861109</v>
      </c>
      <c r="O67" t="str">
        <v>CUST026</v>
      </c>
      <c r="P67" t="str">
        <v>Emma Taylor</v>
      </c>
      <c r="Q67" t="str">
        <v>East</v>
      </c>
      <c r="R67" t="str">
        <v>Books</v>
      </c>
      <c r="S67">
        <v>1231.26</v>
      </c>
      <c r="T67">
        <v>9</v>
      </c>
      <c r="U67">
        <v>0</v>
      </c>
      <c r="V67">
        <v>45646</v>
      </c>
      <c r="W67">
        <v>492.5</v>
      </c>
      <c r="X67">
        <v>0</v>
      </c>
      <c r="Y67">
        <v>11081.34</v>
      </c>
    </row>
    <row r="68" spans="1:25" ht="29.4" thickBot="1" x14ac:dyDescent="0.35">
      <c r="A68" s="2" t="s">
        <v>65</v>
      </c>
      <c r="B68" s="2" t="s">
        <v>31</v>
      </c>
      <c r="C68" s="2" t="s">
        <v>20</v>
      </c>
      <c r="D68" s="2" t="s">
        <v>12</v>
      </c>
      <c r="E68" s="3">
        <v>876.44</v>
      </c>
      <c r="F68" s="3">
        <v>12</v>
      </c>
      <c r="G68" s="3">
        <v>0.05</v>
      </c>
      <c r="H68" s="4">
        <v>45488</v>
      </c>
      <c r="I68" s="3">
        <v>333.05</v>
      </c>
      <c r="K68">
        <f t="shared" si="3"/>
        <v>10517.28</v>
      </c>
      <c r="L68" s="11">
        <f t="shared" ca="1" si="4"/>
        <v>46301.680254861109</v>
      </c>
      <c r="O68" t="str">
        <v>CUST026</v>
      </c>
      <c r="P68" t="str">
        <v>Sarah Anderson</v>
      </c>
      <c r="Q68" t="str">
        <v>West</v>
      </c>
      <c r="R68" t="str">
        <v>Electronics</v>
      </c>
      <c r="S68">
        <v>1161.67</v>
      </c>
      <c r="T68">
        <v>19</v>
      </c>
      <c r="U68">
        <v>0.2</v>
      </c>
      <c r="V68">
        <v>45647</v>
      </c>
      <c r="W68">
        <v>232.33</v>
      </c>
      <c r="X68">
        <v>0</v>
      </c>
      <c r="Y68">
        <v>22071.730000000003</v>
      </c>
    </row>
    <row r="69" spans="1:25" ht="29.4" thickBot="1" x14ac:dyDescent="0.35">
      <c r="A69" s="2" t="s">
        <v>68</v>
      </c>
      <c r="B69" s="2" t="s">
        <v>55</v>
      </c>
      <c r="C69" s="2" t="s">
        <v>11</v>
      </c>
      <c r="D69" s="2" t="s">
        <v>27</v>
      </c>
      <c r="E69" s="3">
        <v>1371.34</v>
      </c>
      <c r="F69" s="3">
        <v>5</v>
      </c>
      <c r="G69" s="3">
        <v>0.05</v>
      </c>
      <c r="H69" s="4">
        <v>45488</v>
      </c>
      <c r="I69" s="3">
        <v>455.97</v>
      </c>
      <c r="K69">
        <f t="shared" si="3"/>
        <v>6856.7</v>
      </c>
      <c r="L69" s="11">
        <f t="shared" ca="1" si="4"/>
        <v>46301.680254861109</v>
      </c>
      <c r="O69" t="str">
        <v>CUST022</v>
      </c>
      <c r="P69" t="str">
        <v>James Wilson</v>
      </c>
      <c r="Q69" t="str">
        <v>West</v>
      </c>
      <c r="R69" t="str">
        <v>Books</v>
      </c>
      <c r="S69">
        <v>1353.79</v>
      </c>
      <c r="T69">
        <v>14</v>
      </c>
      <c r="U69">
        <v>0.1</v>
      </c>
      <c r="V69">
        <v>45656</v>
      </c>
      <c r="W69">
        <v>487.36</v>
      </c>
      <c r="X69">
        <v>0</v>
      </c>
      <c r="Y69">
        <v>18953.059999999998</v>
      </c>
    </row>
    <row r="70" spans="1:25" ht="29.4" thickBot="1" x14ac:dyDescent="0.35">
      <c r="A70" s="2" t="s">
        <v>57</v>
      </c>
      <c r="B70" s="2" t="s">
        <v>47</v>
      </c>
      <c r="C70" s="2" t="s">
        <v>24</v>
      </c>
      <c r="D70" s="2" t="s">
        <v>21</v>
      </c>
      <c r="E70" s="3">
        <v>1020.26</v>
      </c>
      <c r="F70" s="3">
        <v>11</v>
      </c>
      <c r="G70" s="3">
        <v>0.05</v>
      </c>
      <c r="H70" s="4">
        <v>45494</v>
      </c>
      <c r="I70" s="3">
        <v>242.31</v>
      </c>
      <c r="K70">
        <f t="shared" si="3"/>
        <v>11222.86</v>
      </c>
      <c r="L70" s="11">
        <f t="shared" ca="1" si="4"/>
        <v>46301.680254861109</v>
      </c>
      <c r="O70" t="str">
        <v>CUST011</v>
      </c>
      <c r="P70" t="str">
        <v>Linda Wilson</v>
      </c>
      <c r="Q70" t="str">
        <v>North</v>
      </c>
      <c r="R70" t="str">
        <v>Books</v>
      </c>
      <c r="S70">
        <v>884.63</v>
      </c>
      <c r="T70">
        <v>18</v>
      </c>
      <c r="U70">
        <v>0.1</v>
      </c>
      <c r="V70">
        <v>45659</v>
      </c>
      <c r="W70">
        <v>318.47000000000003</v>
      </c>
      <c r="X70">
        <v>0</v>
      </c>
      <c r="Y70">
        <v>15923.34</v>
      </c>
    </row>
    <row r="71" spans="1:25" ht="29.4" thickBot="1" x14ac:dyDescent="0.35">
      <c r="A71" s="2" t="s">
        <v>44</v>
      </c>
      <c r="B71" s="2" t="s">
        <v>10</v>
      </c>
      <c r="C71" s="2" t="s">
        <v>34</v>
      </c>
      <c r="D71" s="2" t="s">
        <v>39</v>
      </c>
      <c r="E71" s="3">
        <v>804.81</v>
      </c>
      <c r="F71" s="3">
        <v>1</v>
      </c>
      <c r="G71" s="3">
        <v>0.05</v>
      </c>
      <c r="H71" s="4">
        <v>45502</v>
      </c>
      <c r="I71" s="3">
        <v>344.06</v>
      </c>
      <c r="K71">
        <f t="shared" si="3"/>
        <v>804.81</v>
      </c>
      <c r="L71" s="11">
        <f t="shared" ca="1" si="4"/>
        <v>46301.680254861109</v>
      </c>
      <c r="O71" t="str">
        <v>CUST010</v>
      </c>
      <c r="P71" t="str">
        <v>Linda Wilson</v>
      </c>
      <c r="Q71" t="str">
        <v>West</v>
      </c>
      <c r="R71" t="str">
        <v>Furniture</v>
      </c>
      <c r="S71">
        <v>862.19</v>
      </c>
      <c r="T71">
        <v>18</v>
      </c>
      <c r="U71">
        <v>0.05</v>
      </c>
      <c r="V71">
        <v>45663</v>
      </c>
      <c r="W71">
        <v>286.68</v>
      </c>
      <c r="X71">
        <v>0</v>
      </c>
      <c r="Y71">
        <v>15519.420000000002</v>
      </c>
    </row>
    <row r="72" spans="1:25" ht="29.4" thickBot="1" x14ac:dyDescent="0.35">
      <c r="A72" s="2" t="s">
        <v>22</v>
      </c>
      <c r="B72" s="2" t="s">
        <v>55</v>
      </c>
      <c r="C72" s="2" t="s">
        <v>34</v>
      </c>
      <c r="D72" s="2" t="s">
        <v>21</v>
      </c>
      <c r="E72" s="3">
        <v>608.66</v>
      </c>
      <c r="F72" s="3">
        <v>1</v>
      </c>
      <c r="G72" s="3">
        <v>0.05</v>
      </c>
      <c r="H72" s="4">
        <v>45503</v>
      </c>
      <c r="I72" s="3">
        <v>144.56</v>
      </c>
      <c r="K72">
        <f t="shared" si="3"/>
        <v>608.66</v>
      </c>
      <c r="L72" s="11">
        <f t="shared" ca="1" si="4"/>
        <v>46301.680254861109</v>
      </c>
      <c r="O72" t="str">
        <v>CUST013</v>
      </c>
      <c r="P72" t="str">
        <v>Mary Wilson</v>
      </c>
      <c r="Q72" t="str">
        <v>North</v>
      </c>
      <c r="R72" t="str">
        <v>Clothing</v>
      </c>
      <c r="S72">
        <v>1171.18</v>
      </c>
      <c r="T72">
        <v>19</v>
      </c>
      <c r="U72">
        <v>0.05</v>
      </c>
      <c r="V72">
        <v>45667</v>
      </c>
      <c r="W72">
        <v>556.30999999999995</v>
      </c>
      <c r="X72">
        <v>0</v>
      </c>
      <c r="Y72">
        <v>22252.420000000002</v>
      </c>
    </row>
    <row r="73" spans="1:25" ht="29.4" thickBot="1" x14ac:dyDescent="0.35">
      <c r="A73" s="2" t="s">
        <v>68</v>
      </c>
      <c r="B73" s="2" t="s">
        <v>69</v>
      </c>
      <c r="C73" s="2" t="s">
        <v>20</v>
      </c>
      <c r="D73" s="2" t="s">
        <v>39</v>
      </c>
      <c r="E73" s="3">
        <v>981.2</v>
      </c>
      <c r="F73" s="3">
        <v>19</v>
      </c>
      <c r="G73" s="3">
        <v>0</v>
      </c>
      <c r="H73" s="4">
        <v>45504</v>
      </c>
      <c r="I73" s="3">
        <v>441.54</v>
      </c>
      <c r="K73">
        <f t="shared" si="3"/>
        <v>18642.8</v>
      </c>
      <c r="L73" s="11">
        <f t="shared" ca="1" si="4"/>
        <v>46301.680254861109</v>
      </c>
      <c r="O73" t="str">
        <v>CUST015</v>
      </c>
      <c r="P73" t="str">
        <v>Robert Anderson</v>
      </c>
      <c r="Q73" t="str">
        <v>South</v>
      </c>
      <c r="R73" t="str">
        <v>Furniture</v>
      </c>
      <c r="S73">
        <v>1054.56</v>
      </c>
      <c r="T73">
        <v>11</v>
      </c>
      <c r="U73">
        <v>0.1</v>
      </c>
      <c r="V73">
        <v>45669</v>
      </c>
      <c r="W73">
        <v>332.19</v>
      </c>
      <c r="X73">
        <v>0</v>
      </c>
      <c r="Y73">
        <v>11600.16</v>
      </c>
    </row>
    <row r="74" spans="1:25" ht="29.4" thickBot="1" x14ac:dyDescent="0.35">
      <c r="A74" s="2" t="s">
        <v>70</v>
      </c>
      <c r="B74" s="2" t="s">
        <v>55</v>
      </c>
      <c r="C74" s="2" t="s">
        <v>18</v>
      </c>
      <c r="D74" s="2" t="s">
        <v>21</v>
      </c>
      <c r="E74" s="3">
        <v>539.77</v>
      </c>
      <c r="F74" s="3">
        <v>10</v>
      </c>
      <c r="G74" s="3">
        <v>0.15</v>
      </c>
      <c r="H74" s="4">
        <v>45509</v>
      </c>
      <c r="I74" s="3">
        <v>114.7</v>
      </c>
      <c r="K74">
        <f t="shared" si="3"/>
        <v>5397.7</v>
      </c>
      <c r="L74" s="11">
        <f t="shared" ca="1" si="4"/>
        <v>46301.680254861109</v>
      </c>
      <c r="O74" t="str">
        <v>CUST024</v>
      </c>
      <c r="P74" t="str">
        <v>Linda Taylor</v>
      </c>
      <c r="Q74" t="str">
        <v>North</v>
      </c>
      <c r="R74" t="str">
        <v>Clothing</v>
      </c>
      <c r="S74">
        <v>1622.62</v>
      </c>
      <c r="T74">
        <v>12</v>
      </c>
      <c r="U74">
        <v>0.2</v>
      </c>
      <c r="V74">
        <v>45677</v>
      </c>
      <c r="W74">
        <v>649.04999999999995</v>
      </c>
      <c r="X74">
        <v>0</v>
      </c>
      <c r="Y74">
        <v>19471.439999999999</v>
      </c>
    </row>
    <row r="75" spans="1:25" ht="29.4" thickBot="1" x14ac:dyDescent="0.35">
      <c r="A75" s="2" t="s">
        <v>13</v>
      </c>
      <c r="B75" s="2" t="s">
        <v>71</v>
      </c>
      <c r="C75" s="2" t="s">
        <v>20</v>
      </c>
      <c r="D75" s="2" t="s">
        <v>12</v>
      </c>
      <c r="E75" s="3">
        <v>804.45</v>
      </c>
      <c r="F75" s="3">
        <v>5</v>
      </c>
      <c r="G75" s="3">
        <v>0.2</v>
      </c>
      <c r="H75" s="4">
        <v>45509</v>
      </c>
      <c r="I75" s="3">
        <v>257.42</v>
      </c>
      <c r="K75">
        <f t="shared" si="3"/>
        <v>4022.25</v>
      </c>
      <c r="L75" s="11">
        <f t="shared" ca="1" si="4"/>
        <v>46301.680254861109</v>
      </c>
      <c r="O75" t="str">
        <v>CUST030</v>
      </c>
      <c r="P75" t="str">
        <v>Sarah Anderson</v>
      </c>
      <c r="Q75" t="str">
        <v>West</v>
      </c>
      <c r="R75" t="str">
        <v>Clothing</v>
      </c>
      <c r="S75">
        <v>585.16</v>
      </c>
      <c r="T75">
        <v>17</v>
      </c>
      <c r="U75">
        <v>0.1</v>
      </c>
      <c r="V75">
        <v>45684</v>
      </c>
      <c r="W75">
        <v>263.32</v>
      </c>
      <c r="X75">
        <v>0</v>
      </c>
      <c r="Y75">
        <v>9947.7199999999993</v>
      </c>
    </row>
    <row r="76" spans="1:25" ht="29.4" thickBot="1" x14ac:dyDescent="0.35">
      <c r="A76" s="2" t="s">
        <v>70</v>
      </c>
      <c r="B76" s="2" t="s">
        <v>38</v>
      </c>
      <c r="C76" s="2" t="s">
        <v>11</v>
      </c>
      <c r="D76" s="2" t="s">
        <v>21</v>
      </c>
      <c r="E76" s="3">
        <v>1526.6</v>
      </c>
      <c r="F76" s="3">
        <v>13</v>
      </c>
      <c r="G76" s="3">
        <v>0.2</v>
      </c>
      <c r="H76" s="4">
        <v>45512</v>
      </c>
      <c r="I76" s="3">
        <v>305.32</v>
      </c>
      <c r="K76">
        <f t="shared" si="3"/>
        <v>19845.8</v>
      </c>
      <c r="L76" s="11">
        <f t="shared" ca="1" si="4"/>
        <v>46301.680254861109</v>
      </c>
      <c r="O76" t="str">
        <v>CUST015</v>
      </c>
      <c r="P76" t="str">
        <v>Lisa Thomas</v>
      </c>
      <c r="Q76" t="str">
        <v>East</v>
      </c>
      <c r="R76" t="str">
        <v>Books</v>
      </c>
      <c r="S76">
        <v>1098.08</v>
      </c>
      <c r="T76">
        <v>9</v>
      </c>
      <c r="U76">
        <v>0.1</v>
      </c>
      <c r="V76">
        <v>45692</v>
      </c>
      <c r="W76">
        <v>395.31</v>
      </c>
      <c r="X76">
        <v>0</v>
      </c>
      <c r="Y76">
        <v>9882.7199999999993</v>
      </c>
    </row>
    <row r="77" spans="1:25" ht="29.4" thickBot="1" x14ac:dyDescent="0.35">
      <c r="A77" s="2" t="s">
        <v>13</v>
      </c>
      <c r="B77" s="2" t="s">
        <v>29</v>
      </c>
      <c r="C77" s="2" t="s">
        <v>11</v>
      </c>
      <c r="D77" s="2" t="s">
        <v>21</v>
      </c>
      <c r="E77" s="3">
        <v>1215.26</v>
      </c>
      <c r="F77" s="3">
        <v>5</v>
      </c>
      <c r="G77" s="3">
        <v>0.15</v>
      </c>
      <c r="H77" s="4">
        <v>45513</v>
      </c>
      <c r="I77" s="3">
        <v>258.24</v>
      </c>
      <c r="K77">
        <f t="shared" si="3"/>
        <v>6076.3</v>
      </c>
      <c r="L77" s="11">
        <f t="shared" ca="1" si="4"/>
        <v>46301.680254861109</v>
      </c>
      <c r="O77" t="str">
        <v>CUST024</v>
      </c>
      <c r="P77" t="str">
        <v>Linda Wilson</v>
      </c>
      <c r="Q77" t="str">
        <v>Central</v>
      </c>
      <c r="R77" t="str">
        <v>Clothing</v>
      </c>
      <c r="S77">
        <v>741.88</v>
      </c>
      <c r="T77">
        <v>16</v>
      </c>
      <c r="U77">
        <v>0.1</v>
      </c>
      <c r="V77">
        <v>45695</v>
      </c>
      <c r="W77">
        <v>333.85</v>
      </c>
      <c r="X77">
        <v>0</v>
      </c>
      <c r="Y77">
        <v>11870.08</v>
      </c>
    </row>
    <row r="78" spans="1:25" ht="29.4" thickBot="1" x14ac:dyDescent="0.35">
      <c r="A78" s="2" t="s">
        <v>19</v>
      </c>
      <c r="B78" s="2" t="s">
        <v>53</v>
      </c>
      <c r="C78" s="2" t="s">
        <v>34</v>
      </c>
      <c r="D78" s="2" t="s">
        <v>27</v>
      </c>
      <c r="E78" s="3">
        <v>1261.3399999999999</v>
      </c>
      <c r="F78" s="3">
        <v>3</v>
      </c>
      <c r="G78" s="3">
        <v>0</v>
      </c>
      <c r="H78" s="4">
        <v>45519</v>
      </c>
      <c r="I78" s="3">
        <v>441.47</v>
      </c>
      <c r="K78">
        <f t="shared" si="3"/>
        <v>3784.0199999999995</v>
      </c>
      <c r="L78" s="11">
        <f t="shared" ca="1" si="4"/>
        <v>46301.680254861109</v>
      </c>
      <c r="O78" t="str">
        <v>CUST004</v>
      </c>
      <c r="P78" t="str">
        <v>Mary Davis</v>
      </c>
      <c r="Q78" t="str">
        <v>South</v>
      </c>
      <c r="R78" t="str">
        <v>Office Supplies</v>
      </c>
      <c r="S78">
        <v>573.32000000000005</v>
      </c>
      <c r="T78">
        <v>19</v>
      </c>
      <c r="U78">
        <v>0.1</v>
      </c>
      <c r="V78">
        <v>45703</v>
      </c>
      <c r="W78">
        <v>232.19</v>
      </c>
      <c r="X78">
        <v>0</v>
      </c>
      <c r="Y78">
        <v>10893.080000000002</v>
      </c>
    </row>
    <row r="79" spans="1:25" ht="29.4" thickBot="1" x14ac:dyDescent="0.35">
      <c r="A79" s="2" t="s">
        <v>72</v>
      </c>
      <c r="B79" s="2" t="s">
        <v>45</v>
      </c>
      <c r="C79" s="2" t="s">
        <v>24</v>
      </c>
      <c r="D79" s="2" t="s">
        <v>27</v>
      </c>
      <c r="E79" s="3">
        <v>518.07000000000005</v>
      </c>
      <c r="F79" s="3">
        <v>7</v>
      </c>
      <c r="G79" s="3">
        <v>0.05</v>
      </c>
      <c r="H79" s="4">
        <v>45522</v>
      </c>
      <c r="I79" s="3">
        <v>172.26</v>
      </c>
      <c r="K79">
        <f t="shared" si="3"/>
        <v>3626.4900000000002</v>
      </c>
      <c r="L79" s="11">
        <f t="shared" ca="1" si="4"/>
        <v>46301.680254861109</v>
      </c>
      <c r="O79" t="str">
        <v>CUST028</v>
      </c>
      <c r="P79" t="str">
        <v>James Wilson</v>
      </c>
      <c r="Q79" t="str">
        <v>West</v>
      </c>
      <c r="R79" t="str">
        <v>Electronics</v>
      </c>
      <c r="S79">
        <v>1115.22</v>
      </c>
      <c r="T79">
        <v>14</v>
      </c>
      <c r="U79">
        <v>0.2</v>
      </c>
      <c r="V79">
        <v>45705</v>
      </c>
      <c r="W79">
        <v>223.04</v>
      </c>
      <c r="X79">
        <v>0</v>
      </c>
      <c r="Y79">
        <v>15613.08</v>
      </c>
    </row>
    <row r="80" spans="1:25" ht="29.4" thickBot="1" x14ac:dyDescent="0.35">
      <c r="A80" s="2" t="s">
        <v>30</v>
      </c>
      <c r="B80" s="2" t="s">
        <v>29</v>
      </c>
      <c r="C80" s="2" t="s">
        <v>11</v>
      </c>
      <c r="D80" s="2" t="s">
        <v>39</v>
      </c>
      <c r="E80" s="3">
        <v>1111.3399999999999</v>
      </c>
      <c r="F80" s="3">
        <v>1</v>
      </c>
      <c r="G80" s="3">
        <v>0</v>
      </c>
      <c r="H80" s="4">
        <v>45523</v>
      </c>
      <c r="I80" s="3">
        <v>500.1</v>
      </c>
      <c r="K80">
        <f t="shared" si="3"/>
        <v>1111.3399999999999</v>
      </c>
      <c r="L80" s="11">
        <f t="shared" ca="1" si="4"/>
        <v>46301.680254861109</v>
      </c>
      <c r="O80" t="str">
        <v>CUST003</v>
      </c>
      <c r="P80" t="str">
        <v>Sarah Anderson</v>
      </c>
      <c r="Q80" t="str">
        <v>South</v>
      </c>
      <c r="R80" t="str">
        <v>Books</v>
      </c>
      <c r="S80">
        <v>704.28</v>
      </c>
      <c r="T80">
        <v>15</v>
      </c>
      <c r="U80">
        <v>0.2</v>
      </c>
      <c r="V80">
        <v>45712</v>
      </c>
      <c r="W80">
        <v>225.37</v>
      </c>
      <c r="X80">
        <v>0</v>
      </c>
      <c r="Y80">
        <v>10564.199999999999</v>
      </c>
    </row>
    <row r="81" spans="1:25" ht="29.4" thickBot="1" x14ac:dyDescent="0.35">
      <c r="A81" s="2" t="s">
        <v>22</v>
      </c>
      <c r="B81" s="2" t="s">
        <v>31</v>
      </c>
      <c r="C81" s="2" t="s">
        <v>18</v>
      </c>
      <c r="D81" s="2" t="s">
        <v>15</v>
      </c>
      <c r="E81" s="3">
        <v>1291.47</v>
      </c>
      <c r="F81" s="3">
        <v>18</v>
      </c>
      <c r="G81" s="3">
        <v>0.1</v>
      </c>
      <c r="H81" s="4">
        <v>45526</v>
      </c>
      <c r="I81" s="3">
        <v>581.16</v>
      </c>
      <c r="K81">
        <f t="shared" si="3"/>
        <v>23246.46</v>
      </c>
      <c r="L81" s="11">
        <f t="shared" ca="1" si="4"/>
        <v>46301.680254861109</v>
      </c>
      <c r="O81" t="str">
        <v>CUST002</v>
      </c>
      <c r="P81" t="str">
        <v>Mary Jackson</v>
      </c>
      <c r="Q81" t="str">
        <v>Central</v>
      </c>
      <c r="R81" t="str">
        <v>Office Supplies</v>
      </c>
      <c r="S81">
        <v>1618.22</v>
      </c>
      <c r="T81">
        <v>12</v>
      </c>
      <c r="U81">
        <v>0.2</v>
      </c>
      <c r="V81">
        <v>45712</v>
      </c>
      <c r="W81">
        <v>582.55999999999995</v>
      </c>
      <c r="X81">
        <v>0</v>
      </c>
      <c r="Y81">
        <v>19418.64</v>
      </c>
    </row>
    <row r="82" spans="1:25" ht="29.4" thickBot="1" x14ac:dyDescent="0.35">
      <c r="A82" s="2" t="s">
        <v>25</v>
      </c>
      <c r="B82" s="2" t="s">
        <v>55</v>
      </c>
      <c r="C82" s="2" t="s">
        <v>24</v>
      </c>
      <c r="D82" s="2" t="s">
        <v>12</v>
      </c>
      <c r="E82" s="3">
        <v>679.71</v>
      </c>
      <c r="F82" s="3">
        <v>19</v>
      </c>
      <c r="G82" s="3">
        <v>0</v>
      </c>
      <c r="H82" s="4">
        <v>45534</v>
      </c>
      <c r="I82" s="3">
        <v>271.88</v>
      </c>
      <c r="K82">
        <f t="shared" si="3"/>
        <v>12914.490000000002</v>
      </c>
      <c r="L82" s="11">
        <f t="shared" ca="1" si="4"/>
        <v>46301.680254861109</v>
      </c>
      <c r="O82" t="str">
        <v>CUST018</v>
      </c>
      <c r="P82" t="str">
        <v>Mary Davis</v>
      </c>
      <c r="Q82" t="str">
        <v>Central</v>
      </c>
      <c r="R82" t="str">
        <v>Clothing</v>
      </c>
      <c r="S82">
        <v>826.97</v>
      </c>
      <c r="T82">
        <v>18</v>
      </c>
      <c r="U82">
        <v>0.2</v>
      </c>
      <c r="V82">
        <v>45715</v>
      </c>
      <c r="W82">
        <v>330.79</v>
      </c>
      <c r="X82">
        <v>0</v>
      </c>
      <c r="Y82">
        <v>14885.460000000001</v>
      </c>
    </row>
    <row r="83" spans="1:25" ht="29.4" thickBot="1" x14ac:dyDescent="0.35">
      <c r="A83" s="2" t="s">
        <v>68</v>
      </c>
      <c r="B83" s="2" t="s">
        <v>33</v>
      </c>
      <c r="C83" s="2" t="s">
        <v>18</v>
      </c>
      <c r="D83" s="2" t="s">
        <v>27</v>
      </c>
      <c r="E83" s="3">
        <v>1143.69</v>
      </c>
      <c r="F83" s="3">
        <v>17</v>
      </c>
      <c r="G83" s="3">
        <v>0</v>
      </c>
      <c r="H83" s="4">
        <v>45534</v>
      </c>
      <c r="I83" s="3">
        <v>400.29</v>
      </c>
      <c r="K83">
        <f t="shared" si="3"/>
        <v>19442.73</v>
      </c>
      <c r="L83" s="11">
        <f t="shared" ca="1" si="4"/>
        <v>46301.680254861109</v>
      </c>
      <c r="O83" t="str">
        <v>CUST014</v>
      </c>
      <c r="P83" t="str">
        <v>Emma Davis</v>
      </c>
      <c r="Q83" t="str">
        <v>South</v>
      </c>
      <c r="R83" t="str">
        <v>Books</v>
      </c>
      <c r="S83">
        <v>1064.19</v>
      </c>
      <c r="T83">
        <v>18</v>
      </c>
      <c r="U83">
        <v>0.05</v>
      </c>
      <c r="V83">
        <v>45725</v>
      </c>
      <c r="W83">
        <v>404.39</v>
      </c>
      <c r="X83">
        <v>0</v>
      </c>
      <c r="Y83">
        <v>19155.420000000002</v>
      </c>
    </row>
    <row r="84" spans="1:25" ht="29.4" thickBot="1" x14ac:dyDescent="0.35">
      <c r="A84" s="2" t="s">
        <v>52</v>
      </c>
      <c r="B84" s="2" t="s">
        <v>50</v>
      </c>
      <c r="C84" s="2" t="s">
        <v>34</v>
      </c>
      <c r="D84" s="2" t="s">
        <v>21</v>
      </c>
      <c r="E84" s="3">
        <v>790.08</v>
      </c>
      <c r="F84" s="3">
        <v>7</v>
      </c>
      <c r="G84" s="3">
        <v>0.1</v>
      </c>
      <c r="H84" s="4">
        <v>45536</v>
      </c>
      <c r="I84" s="3">
        <v>177.77</v>
      </c>
      <c r="K84">
        <f t="shared" si="3"/>
        <v>5530.56</v>
      </c>
      <c r="L84" s="11">
        <f t="shared" ca="1" si="4"/>
        <v>46301.680254861109</v>
      </c>
      <c r="O84" t="str">
        <v>CUST021</v>
      </c>
      <c r="P84" t="str">
        <v>David Brown</v>
      </c>
      <c r="Q84" t="str">
        <v>West</v>
      </c>
      <c r="R84" t="str">
        <v>Furniture</v>
      </c>
      <c r="S84">
        <v>984.93</v>
      </c>
      <c r="T84">
        <v>14</v>
      </c>
      <c r="U84">
        <v>0.2</v>
      </c>
      <c r="V84">
        <v>45733</v>
      </c>
      <c r="W84">
        <v>275.77999999999997</v>
      </c>
      <c r="X84">
        <v>0</v>
      </c>
      <c r="Y84">
        <v>13789.019999999999</v>
      </c>
    </row>
    <row r="85" spans="1:25" ht="15" thickBot="1" x14ac:dyDescent="0.35">
      <c r="A85" s="2" t="s">
        <v>19</v>
      </c>
      <c r="B85" s="2" t="s">
        <v>48</v>
      </c>
      <c r="C85" s="2" t="s">
        <v>34</v>
      </c>
      <c r="D85" s="2" t="s">
        <v>12</v>
      </c>
      <c r="E85" s="3">
        <v>1070.68</v>
      </c>
      <c r="F85" s="3">
        <v>7</v>
      </c>
      <c r="G85" s="3">
        <v>0.05</v>
      </c>
      <c r="H85" s="4">
        <v>45536</v>
      </c>
      <c r="I85" s="3">
        <v>406.86</v>
      </c>
      <c r="K85">
        <f t="shared" si="3"/>
        <v>7494.76</v>
      </c>
      <c r="L85" s="11">
        <f t="shared" ca="1" si="4"/>
        <v>46301.680254861109</v>
      </c>
      <c r="O85" t="str">
        <v>CUST007</v>
      </c>
      <c r="P85" t="str">
        <v>David Brown</v>
      </c>
      <c r="Q85" t="str">
        <v>West</v>
      </c>
      <c r="R85" t="str">
        <v>Clothing</v>
      </c>
      <c r="S85">
        <v>1493.49</v>
      </c>
      <c r="T85">
        <v>18</v>
      </c>
      <c r="U85">
        <v>0</v>
      </c>
      <c r="V85">
        <v>45734</v>
      </c>
      <c r="W85">
        <v>746.74</v>
      </c>
      <c r="X85">
        <v>0</v>
      </c>
      <c r="Y85">
        <v>26882.82</v>
      </c>
    </row>
    <row r="86" spans="1:25" ht="29.4" thickBot="1" x14ac:dyDescent="0.35">
      <c r="A86" s="2" t="s">
        <v>58</v>
      </c>
      <c r="B86" s="2" t="s">
        <v>36</v>
      </c>
      <c r="C86" s="2" t="s">
        <v>11</v>
      </c>
      <c r="D86" s="2" t="s">
        <v>15</v>
      </c>
      <c r="E86" s="3">
        <v>1168.8900000000001</v>
      </c>
      <c r="F86" s="3">
        <v>4</v>
      </c>
      <c r="G86" s="3">
        <v>0.1</v>
      </c>
      <c r="H86" s="4">
        <v>45544</v>
      </c>
      <c r="I86" s="3">
        <v>526</v>
      </c>
      <c r="K86">
        <f t="shared" si="3"/>
        <v>4675.5600000000004</v>
      </c>
      <c r="L86" s="11">
        <f t="shared" ca="1" si="4"/>
        <v>46301.680254861109</v>
      </c>
      <c r="O86" t="str">
        <v>CUST009</v>
      </c>
      <c r="P86" t="str">
        <v>Michael Anderson</v>
      </c>
      <c r="Q86" t="str">
        <v>South</v>
      </c>
      <c r="R86" t="str">
        <v>Furniture</v>
      </c>
      <c r="S86">
        <v>1184.25</v>
      </c>
      <c r="T86">
        <v>11</v>
      </c>
      <c r="U86">
        <v>0.2</v>
      </c>
      <c r="V86">
        <v>45742</v>
      </c>
      <c r="W86">
        <v>331.59</v>
      </c>
      <c r="X86">
        <v>0</v>
      </c>
      <c r="Y86">
        <v>13026.75</v>
      </c>
    </row>
    <row r="87" spans="1:25" ht="29.4" thickBot="1" x14ac:dyDescent="0.35">
      <c r="A87" s="2" t="s">
        <v>67</v>
      </c>
      <c r="B87" s="2" t="s">
        <v>10</v>
      </c>
      <c r="C87" s="2" t="s">
        <v>20</v>
      </c>
      <c r="D87" s="2" t="s">
        <v>21</v>
      </c>
      <c r="E87" s="3">
        <v>1335.87</v>
      </c>
      <c r="F87" s="3">
        <v>17</v>
      </c>
      <c r="G87" s="3">
        <v>0</v>
      </c>
      <c r="H87" s="4">
        <v>45544</v>
      </c>
      <c r="I87" s="3">
        <v>333.97</v>
      </c>
      <c r="K87">
        <f t="shared" si="3"/>
        <v>22709.789999999997</v>
      </c>
      <c r="L87" s="11">
        <f t="shared" ca="1" si="4"/>
        <v>46301.680254861109</v>
      </c>
      <c r="O87" t="str">
        <v>CUST018</v>
      </c>
      <c r="P87" t="str">
        <v>David Anderson</v>
      </c>
      <c r="Q87" t="str">
        <v>Central</v>
      </c>
      <c r="R87" t="str">
        <v>Clothing</v>
      </c>
      <c r="S87">
        <v>1456.94</v>
      </c>
      <c r="T87">
        <v>14</v>
      </c>
      <c r="U87">
        <v>0.05</v>
      </c>
      <c r="V87">
        <v>45745</v>
      </c>
      <c r="W87">
        <v>692.05</v>
      </c>
      <c r="X87">
        <v>0</v>
      </c>
      <c r="Y87">
        <v>20397.16</v>
      </c>
    </row>
    <row r="88" spans="1:25" ht="29.4" thickBot="1" x14ac:dyDescent="0.35">
      <c r="A88" s="2" t="s">
        <v>40</v>
      </c>
      <c r="B88" s="2" t="s">
        <v>55</v>
      </c>
      <c r="C88" s="2" t="s">
        <v>18</v>
      </c>
      <c r="D88" s="2" t="s">
        <v>27</v>
      </c>
      <c r="E88" s="3">
        <v>873.7</v>
      </c>
      <c r="F88" s="3">
        <v>9</v>
      </c>
      <c r="G88" s="3">
        <v>0</v>
      </c>
      <c r="H88" s="4">
        <v>45546</v>
      </c>
      <c r="I88" s="3">
        <v>305.8</v>
      </c>
      <c r="K88">
        <f t="shared" si="3"/>
        <v>7863.3</v>
      </c>
      <c r="L88" s="11">
        <f t="shared" ca="1" si="4"/>
        <v>46301.680254861109</v>
      </c>
      <c r="O88" t="str">
        <v>CUST008</v>
      </c>
      <c r="P88" t="str">
        <v>Emma Wilson</v>
      </c>
      <c r="Q88" t="str">
        <v>East</v>
      </c>
      <c r="R88" t="str">
        <v>Furniture</v>
      </c>
      <c r="S88">
        <v>1093.3800000000001</v>
      </c>
      <c r="T88">
        <v>17</v>
      </c>
      <c r="U88">
        <v>0.1</v>
      </c>
      <c r="V88">
        <v>45745</v>
      </c>
      <c r="W88">
        <v>344.41</v>
      </c>
      <c r="X88">
        <v>0</v>
      </c>
      <c r="Y88">
        <v>18587.460000000003</v>
      </c>
    </row>
    <row r="89" spans="1:25" ht="29.4" thickBot="1" x14ac:dyDescent="0.35">
      <c r="A89" s="2" t="s">
        <v>72</v>
      </c>
      <c r="B89" s="2" t="s">
        <v>64</v>
      </c>
      <c r="C89" s="2" t="s">
        <v>11</v>
      </c>
      <c r="D89" s="2" t="s">
        <v>39</v>
      </c>
      <c r="E89" s="3">
        <v>1443.98</v>
      </c>
      <c r="F89" s="3">
        <v>19</v>
      </c>
      <c r="G89" s="3">
        <v>0</v>
      </c>
      <c r="H89" s="4">
        <v>45547</v>
      </c>
      <c r="I89" s="3">
        <v>649.79</v>
      </c>
      <c r="K89">
        <f t="shared" si="3"/>
        <v>27435.62</v>
      </c>
      <c r="L89" s="11">
        <f t="shared" ca="1" si="4"/>
        <v>46301.680254861109</v>
      </c>
      <c r="O89" t="str">
        <v>CUST024</v>
      </c>
      <c r="P89" t="str">
        <v>David Thomas</v>
      </c>
      <c r="Q89" t="str">
        <v>Central</v>
      </c>
      <c r="R89" t="str">
        <v>Clothing</v>
      </c>
      <c r="S89">
        <v>1465.35</v>
      </c>
      <c r="T89">
        <v>8</v>
      </c>
      <c r="U89">
        <v>0.2</v>
      </c>
      <c r="V89">
        <v>45746</v>
      </c>
      <c r="W89">
        <v>586.14</v>
      </c>
      <c r="X89">
        <v>0</v>
      </c>
      <c r="Y89">
        <v>11722.8</v>
      </c>
    </row>
    <row r="90" spans="1:25" ht="29.4" thickBot="1" x14ac:dyDescent="0.35">
      <c r="A90" s="2" t="s">
        <v>40</v>
      </c>
      <c r="B90" s="2" t="s">
        <v>23</v>
      </c>
      <c r="C90" s="2" t="s">
        <v>18</v>
      </c>
      <c r="D90" s="2" t="s">
        <v>39</v>
      </c>
      <c r="E90" s="3">
        <v>1154.33</v>
      </c>
      <c r="F90" s="3">
        <v>11</v>
      </c>
      <c r="G90" s="3">
        <v>0.15</v>
      </c>
      <c r="H90" s="4">
        <v>45549</v>
      </c>
      <c r="I90" s="3">
        <v>441.53</v>
      </c>
      <c r="K90">
        <f t="shared" si="3"/>
        <v>12697.63</v>
      </c>
      <c r="L90" s="11">
        <f t="shared" ca="1" si="4"/>
        <v>46301.680254861109</v>
      </c>
    </row>
    <row r="91" spans="1:25" ht="29.4" thickBot="1" x14ac:dyDescent="0.35">
      <c r="A91" s="2" t="s">
        <v>49</v>
      </c>
      <c r="B91" s="2" t="s">
        <v>50</v>
      </c>
      <c r="C91" s="2" t="s">
        <v>20</v>
      </c>
      <c r="D91" s="2" t="s">
        <v>12</v>
      </c>
      <c r="E91" s="3">
        <v>1264.49</v>
      </c>
      <c r="F91" s="3">
        <v>16</v>
      </c>
      <c r="G91" s="3">
        <v>0.05</v>
      </c>
      <c r="H91" s="4">
        <v>45549</v>
      </c>
      <c r="I91" s="3">
        <v>480.51</v>
      </c>
      <c r="K91">
        <f t="shared" si="3"/>
        <v>20231.84</v>
      </c>
      <c r="L91" s="11">
        <f t="shared" ca="1" si="4"/>
        <v>46301.680254861109</v>
      </c>
    </row>
    <row r="92" spans="1:25" ht="29.4" thickBot="1" x14ac:dyDescent="0.35">
      <c r="A92" s="2" t="s">
        <v>25</v>
      </c>
      <c r="B92" s="2" t="s">
        <v>66</v>
      </c>
      <c r="C92" s="2" t="s">
        <v>11</v>
      </c>
      <c r="D92" s="2" t="s">
        <v>27</v>
      </c>
      <c r="E92" s="3">
        <v>1101.55</v>
      </c>
      <c r="F92" s="3">
        <v>4</v>
      </c>
      <c r="G92" s="3">
        <v>0.1</v>
      </c>
      <c r="H92" s="4">
        <v>45551</v>
      </c>
      <c r="I92" s="3">
        <v>346.99</v>
      </c>
      <c r="K92">
        <f t="shared" si="3"/>
        <v>4406.2</v>
      </c>
      <c r="L92" s="11">
        <f t="shared" ca="1" si="4"/>
        <v>46301.680254861109</v>
      </c>
    </row>
    <row r="93" spans="1:25" ht="29.4" thickBot="1" x14ac:dyDescent="0.35">
      <c r="A93" s="2" t="s">
        <v>73</v>
      </c>
      <c r="B93" s="2" t="s">
        <v>14</v>
      </c>
      <c r="C93" s="2" t="s">
        <v>20</v>
      </c>
      <c r="D93" s="2" t="s">
        <v>27</v>
      </c>
      <c r="E93" s="3">
        <v>727.73</v>
      </c>
      <c r="F93" s="3">
        <v>1</v>
      </c>
      <c r="G93" s="3">
        <v>0.1</v>
      </c>
      <c r="H93" s="4">
        <v>45552</v>
      </c>
      <c r="I93" s="3">
        <v>229.23</v>
      </c>
      <c r="K93">
        <f t="shared" si="3"/>
        <v>727.73</v>
      </c>
      <c r="L93" s="11">
        <f t="shared" ca="1" si="4"/>
        <v>46301.680254861109</v>
      </c>
    </row>
    <row r="94" spans="1:25" ht="29.4" thickBot="1" x14ac:dyDescent="0.35">
      <c r="A94" s="2" t="s">
        <v>74</v>
      </c>
      <c r="B94" s="2" t="s">
        <v>38</v>
      </c>
      <c r="C94" s="2" t="s">
        <v>18</v>
      </c>
      <c r="D94" s="2" t="s">
        <v>39</v>
      </c>
      <c r="E94" s="3">
        <v>875.41</v>
      </c>
      <c r="F94" s="3">
        <v>13</v>
      </c>
      <c r="G94" s="3">
        <v>0.15</v>
      </c>
      <c r="H94" s="4">
        <v>45552</v>
      </c>
      <c r="I94" s="3">
        <v>334.84</v>
      </c>
      <c r="K94">
        <f t="shared" si="3"/>
        <v>11380.33</v>
      </c>
      <c r="L94" s="11">
        <f t="shared" ca="1" si="4"/>
        <v>46301.680254861109</v>
      </c>
    </row>
    <row r="95" spans="1:25" ht="29.4" thickBot="1" x14ac:dyDescent="0.35">
      <c r="A95" s="2" t="s">
        <v>67</v>
      </c>
      <c r="B95" s="2" t="s">
        <v>23</v>
      </c>
      <c r="C95" s="2" t="s">
        <v>11</v>
      </c>
      <c r="D95" s="2" t="s">
        <v>21</v>
      </c>
      <c r="E95" s="3">
        <v>1158.94</v>
      </c>
      <c r="F95" s="3">
        <v>19</v>
      </c>
      <c r="G95" s="3">
        <v>0.2</v>
      </c>
      <c r="H95" s="4">
        <v>45553</v>
      </c>
      <c r="I95" s="3">
        <v>231.79</v>
      </c>
      <c r="K95">
        <f t="shared" si="3"/>
        <v>22019.86</v>
      </c>
      <c r="L95" s="11">
        <f t="shared" ca="1" si="4"/>
        <v>46301.680254861109</v>
      </c>
    </row>
    <row r="96" spans="1:25" ht="29.4" thickBot="1" x14ac:dyDescent="0.35">
      <c r="A96" s="2" t="s">
        <v>75</v>
      </c>
      <c r="B96" s="2" t="s">
        <v>47</v>
      </c>
      <c r="C96" s="2" t="s">
        <v>20</v>
      </c>
      <c r="D96" s="2" t="s">
        <v>12</v>
      </c>
      <c r="E96" s="3">
        <v>966.3</v>
      </c>
      <c r="F96" s="3">
        <v>2</v>
      </c>
      <c r="G96" s="3">
        <v>0.15</v>
      </c>
      <c r="H96" s="4">
        <v>45557</v>
      </c>
      <c r="I96" s="3">
        <v>328.54</v>
      </c>
      <c r="K96">
        <f t="shared" si="3"/>
        <v>1932.6</v>
      </c>
      <c r="L96" s="11">
        <f t="shared" ca="1" si="4"/>
        <v>46301.680254861109</v>
      </c>
    </row>
    <row r="97" spans="1:12" ht="29.4" thickBot="1" x14ac:dyDescent="0.35">
      <c r="A97" s="2" t="s">
        <v>68</v>
      </c>
      <c r="B97" s="2" t="s">
        <v>17</v>
      </c>
      <c r="C97" s="2" t="s">
        <v>20</v>
      </c>
      <c r="D97" s="2" t="s">
        <v>12</v>
      </c>
      <c r="E97" s="3">
        <v>917.48</v>
      </c>
      <c r="F97" s="3">
        <v>6</v>
      </c>
      <c r="G97" s="3">
        <v>0</v>
      </c>
      <c r="H97" s="4">
        <v>45558</v>
      </c>
      <c r="I97" s="3">
        <v>366.99</v>
      </c>
      <c r="K97">
        <f t="shared" si="3"/>
        <v>5504.88</v>
      </c>
      <c r="L97" s="11">
        <f t="shared" ca="1" si="4"/>
        <v>46301.680254861109</v>
      </c>
    </row>
    <row r="98" spans="1:12" ht="29.4" thickBot="1" x14ac:dyDescent="0.35">
      <c r="A98" s="2" t="s">
        <v>41</v>
      </c>
      <c r="B98" s="2" t="s">
        <v>61</v>
      </c>
      <c r="C98" s="2" t="s">
        <v>11</v>
      </c>
      <c r="D98" s="2" t="s">
        <v>27</v>
      </c>
      <c r="E98" s="3">
        <v>1172.97</v>
      </c>
      <c r="F98" s="3">
        <v>7</v>
      </c>
      <c r="G98" s="3">
        <v>0.15</v>
      </c>
      <c r="H98" s="4">
        <v>45559</v>
      </c>
      <c r="I98" s="3">
        <v>348.96</v>
      </c>
      <c r="K98">
        <f t="shared" si="3"/>
        <v>8210.7900000000009</v>
      </c>
      <c r="L98" s="11">
        <f t="shared" ca="1" si="4"/>
        <v>46301.680254861109</v>
      </c>
    </row>
    <row r="99" spans="1:12" ht="29.4" thickBot="1" x14ac:dyDescent="0.35">
      <c r="A99" s="2" t="s">
        <v>57</v>
      </c>
      <c r="B99" s="2" t="s">
        <v>23</v>
      </c>
      <c r="C99" s="2" t="s">
        <v>24</v>
      </c>
      <c r="D99" s="2" t="s">
        <v>15</v>
      </c>
      <c r="E99" s="3">
        <v>1205.82</v>
      </c>
      <c r="F99" s="3">
        <v>11</v>
      </c>
      <c r="G99" s="3">
        <v>0.1</v>
      </c>
      <c r="H99" s="4">
        <v>45559</v>
      </c>
      <c r="I99" s="3">
        <v>542.62</v>
      </c>
      <c r="K99">
        <f t="shared" si="3"/>
        <v>13264.019999999999</v>
      </c>
      <c r="L99" s="11">
        <f t="shared" ca="1" si="4"/>
        <v>46301.680254861109</v>
      </c>
    </row>
    <row r="100" spans="1:12" ht="29.4" thickBot="1" x14ac:dyDescent="0.35">
      <c r="A100" s="2" t="s">
        <v>16</v>
      </c>
      <c r="B100" s="2" t="s">
        <v>64</v>
      </c>
      <c r="C100" s="2" t="s">
        <v>11</v>
      </c>
      <c r="D100" s="2" t="s">
        <v>39</v>
      </c>
      <c r="E100" s="3">
        <v>826.93</v>
      </c>
      <c r="F100" s="3">
        <v>10</v>
      </c>
      <c r="G100" s="3">
        <v>0.2</v>
      </c>
      <c r="H100" s="4">
        <v>45564</v>
      </c>
      <c r="I100" s="3">
        <v>297.69</v>
      </c>
      <c r="K100">
        <f t="shared" si="3"/>
        <v>8269.2999999999993</v>
      </c>
      <c r="L100" s="11">
        <f t="shared" ca="1" si="4"/>
        <v>46301.680254861109</v>
      </c>
    </row>
    <row r="101" spans="1:12" ht="29.4" thickBot="1" x14ac:dyDescent="0.35">
      <c r="A101" s="2" t="s">
        <v>67</v>
      </c>
      <c r="B101" s="2" t="s">
        <v>23</v>
      </c>
      <c r="C101" s="2" t="s">
        <v>34</v>
      </c>
      <c r="D101" s="2" t="s">
        <v>15</v>
      </c>
      <c r="E101" s="3">
        <v>902.19</v>
      </c>
      <c r="F101" s="3">
        <v>12</v>
      </c>
      <c r="G101" s="3">
        <v>0</v>
      </c>
      <c r="H101" s="4">
        <v>45564</v>
      </c>
      <c r="I101" s="3">
        <v>451.1</v>
      </c>
      <c r="K101">
        <f t="shared" si="3"/>
        <v>10826.28</v>
      </c>
      <c r="L101" s="11">
        <f t="shared" ca="1" si="4"/>
        <v>46301.680254861109</v>
      </c>
    </row>
    <row r="102" spans="1:12" ht="29.4" thickBot="1" x14ac:dyDescent="0.35">
      <c r="A102" s="2" t="s">
        <v>74</v>
      </c>
      <c r="B102" s="2" t="s">
        <v>38</v>
      </c>
      <c r="C102" s="2" t="s">
        <v>24</v>
      </c>
      <c r="D102" s="2" t="s">
        <v>12</v>
      </c>
      <c r="E102" s="3">
        <v>585.97</v>
      </c>
      <c r="F102" s="3">
        <v>17</v>
      </c>
      <c r="G102" s="3">
        <v>0.1</v>
      </c>
      <c r="H102" s="4">
        <v>45565</v>
      </c>
      <c r="I102" s="3">
        <v>210.95</v>
      </c>
      <c r="K102">
        <f t="shared" si="3"/>
        <v>9961.49</v>
      </c>
      <c r="L102" s="11">
        <f t="shared" ca="1" si="4"/>
        <v>46301.680254861109</v>
      </c>
    </row>
    <row r="103" spans="1:12" ht="29.4" thickBot="1" x14ac:dyDescent="0.35">
      <c r="A103" s="2" t="s">
        <v>60</v>
      </c>
      <c r="B103" s="2" t="s">
        <v>26</v>
      </c>
      <c r="C103" s="2" t="s">
        <v>24</v>
      </c>
      <c r="D103" s="2" t="s">
        <v>15</v>
      </c>
      <c r="E103" s="3">
        <v>990.19</v>
      </c>
      <c r="F103" s="3">
        <v>8</v>
      </c>
      <c r="G103" s="3">
        <v>0.1</v>
      </c>
      <c r="H103" s="4">
        <v>45565</v>
      </c>
      <c r="I103" s="3">
        <v>445.59</v>
      </c>
      <c r="K103">
        <f t="shared" si="3"/>
        <v>7921.52</v>
      </c>
      <c r="L103" s="11">
        <f t="shared" ca="1" si="4"/>
        <v>46301.680254861109</v>
      </c>
    </row>
    <row r="104" spans="1:12" ht="29.4" thickBot="1" x14ac:dyDescent="0.35">
      <c r="A104" s="2" t="s">
        <v>44</v>
      </c>
      <c r="B104" s="2" t="s">
        <v>56</v>
      </c>
      <c r="C104" s="2" t="s">
        <v>34</v>
      </c>
      <c r="D104" s="2" t="s">
        <v>21</v>
      </c>
      <c r="E104" s="3">
        <v>1014.09</v>
      </c>
      <c r="F104" s="3">
        <v>13</v>
      </c>
      <c r="G104" s="3">
        <v>0.2</v>
      </c>
      <c r="H104" s="4">
        <v>45567</v>
      </c>
      <c r="I104" s="3">
        <v>202.82</v>
      </c>
      <c r="K104">
        <f t="shared" si="3"/>
        <v>13183.17</v>
      </c>
      <c r="L104" s="11">
        <f t="shared" ca="1" si="4"/>
        <v>46301.680254861109</v>
      </c>
    </row>
    <row r="105" spans="1:12" ht="29.4" thickBot="1" x14ac:dyDescent="0.35">
      <c r="A105" s="2" t="s">
        <v>13</v>
      </c>
      <c r="B105" s="2" t="s">
        <v>48</v>
      </c>
      <c r="C105" s="2" t="s">
        <v>24</v>
      </c>
      <c r="D105" s="2" t="s">
        <v>21</v>
      </c>
      <c r="E105" s="3">
        <v>925.29</v>
      </c>
      <c r="F105" s="3">
        <v>17</v>
      </c>
      <c r="G105" s="3">
        <v>0</v>
      </c>
      <c r="H105" s="4">
        <v>45570</v>
      </c>
      <c r="I105" s="3">
        <v>231.32</v>
      </c>
      <c r="K105">
        <f t="shared" si="3"/>
        <v>15729.93</v>
      </c>
      <c r="L105" s="11">
        <f t="shared" ca="1" si="4"/>
        <v>46301.680254861109</v>
      </c>
    </row>
    <row r="106" spans="1:12" ht="29.4" thickBot="1" x14ac:dyDescent="0.35">
      <c r="A106" s="2" t="s">
        <v>54</v>
      </c>
      <c r="B106" s="2" t="s">
        <v>47</v>
      </c>
      <c r="C106" s="2" t="s">
        <v>18</v>
      </c>
      <c r="D106" s="2" t="s">
        <v>27</v>
      </c>
      <c r="E106" s="3">
        <v>1286.54</v>
      </c>
      <c r="F106" s="3">
        <v>8</v>
      </c>
      <c r="G106" s="3">
        <v>0</v>
      </c>
      <c r="H106" s="4">
        <v>45575</v>
      </c>
      <c r="I106" s="3">
        <v>450.29</v>
      </c>
      <c r="K106">
        <f t="shared" si="3"/>
        <v>10292.32</v>
      </c>
      <c r="L106" s="11">
        <f t="shared" ca="1" si="4"/>
        <v>46301.680254861109</v>
      </c>
    </row>
    <row r="107" spans="1:12" ht="29.4" thickBot="1" x14ac:dyDescent="0.35">
      <c r="A107" s="2" t="s">
        <v>37</v>
      </c>
      <c r="B107" s="2" t="s">
        <v>64</v>
      </c>
      <c r="C107" s="2" t="s">
        <v>20</v>
      </c>
      <c r="D107" s="2" t="s">
        <v>12</v>
      </c>
      <c r="E107" s="3">
        <v>961.62</v>
      </c>
      <c r="F107" s="3">
        <v>8</v>
      </c>
      <c r="G107" s="3">
        <v>0.2</v>
      </c>
      <c r="H107" s="4">
        <v>45577</v>
      </c>
      <c r="I107" s="3">
        <v>307.72000000000003</v>
      </c>
      <c r="K107">
        <f t="shared" si="3"/>
        <v>7692.96</v>
      </c>
      <c r="L107" s="11">
        <f t="shared" ca="1" si="4"/>
        <v>46301.680254861109</v>
      </c>
    </row>
    <row r="108" spans="1:12" ht="29.4" thickBot="1" x14ac:dyDescent="0.35">
      <c r="A108" s="2" t="s">
        <v>44</v>
      </c>
      <c r="B108" s="2" t="s">
        <v>23</v>
      </c>
      <c r="C108" s="2" t="s">
        <v>18</v>
      </c>
      <c r="D108" s="2" t="s">
        <v>12</v>
      </c>
      <c r="E108" s="3">
        <v>1081.1400000000001</v>
      </c>
      <c r="F108" s="3">
        <v>19</v>
      </c>
      <c r="G108" s="3">
        <v>0.15</v>
      </c>
      <c r="H108" s="4">
        <v>45577</v>
      </c>
      <c r="I108" s="3">
        <v>367.59</v>
      </c>
      <c r="K108">
        <f t="shared" si="3"/>
        <v>20541.660000000003</v>
      </c>
      <c r="L108" s="11">
        <f t="shared" ca="1" si="4"/>
        <v>46301.680254861109</v>
      </c>
    </row>
    <row r="109" spans="1:12" ht="29.4" thickBot="1" x14ac:dyDescent="0.35">
      <c r="A109" s="2" t="s">
        <v>58</v>
      </c>
      <c r="B109" s="2" t="s">
        <v>23</v>
      </c>
      <c r="C109" s="2" t="s">
        <v>11</v>
      </c>
      <c r="D109" s="2" t="s">
        <v>15</v>
      </c>
      <c r="E109" s="3">
        <v>1923.66</v>
      </c>
      <c r="F109" s="3">
        <v>9</v>
      </c>
      <c r="G109" s="3">
        <v>0.2</v>
      </c>
      <c r="H109" s="4">
        <v>45580</v>
      </c>
      <c r="I109" s="3">
        <v>769.46</v>
      </c>
      <c r="K109">
        <f t="shared" si="3"/>
        <v>17312.940000000002</v>
      </c>
      <c r="L109" s="11">
        <f t="shared" ca="1" si="4"/>
        <v>46301.680254861109</v>
      </c>
    </row>
    <row r="110" spans="1:12" ht="29.4" thickBot="1" x14ac:dyDescent="0.35">
      <c r="A110" s="2" t="s">
        <v>54</v>
      </c>
      <c r="B110" s="2" t="s">
        <v>66</v>
      </c>
      <c r="C110" s="2" t="s">
        <v>34</v>
      </c>
      <c r="D110" s="2" t="s">
        <v>15</v>
      </c>
      <c r="E110" s="3">
        <v>728.71</v>
      </c>
      <c r="F110" s="3">
        <v>14</v>
      </c>
      <c r="G110" s="3">
        <v>0.1</v>
      </c>
      <c r="H110" s="4">
        <v>45581</v>
      </c>
      <c r="I110" s="3">
        <v>327.92</v>
      </c>
      <c r="K110">
        <f t="shared" si="3"/>
        <v>10201.94</v>
      </c>
      <c r="L110" s="11">
        <f t="shared" ca="1" si="4"/>
        <v>46301.680254861109</v>
      </c>
    </row>
    <row r="111" spans="1:12" ht="29.4" thickBot="1" x14ac:dyDescent="0.35">
      <c r="A111" s="2" t="s">
        <v>9</v>
      </c>
      <c r="B111" s="2" t="s">
        <v>33</v>
      </c>
      <c r="C111" s="2" t="s">
        <v>34</v>
      </c>
      <c r="D111" s="2" t="s">
        <v>15</v>
      </c>
      <c r="E111" s="3">
        <v>1301.8900000000001</v>
      </c>
      <c r="F111" s="3">
        <v>7</v>
      </c>
      <c r="G111" s="3">
        <v>0.15</v>
      </c>
      <c r="H111" s="4">
        <v>45581</v>
      </c>
      <c r="I111" s="3">
        <v>553.29999999999995</v>
      </c>
      <c r="K111">
        <f t="shared" si="3"/>
        <v>9113.2300000000014</v>
      </c>
      <c r="L111" s="11">
        <f t="shared" ca="1" si="4"/>
        <v>46301.680254861109</v>
      </c>
    </row>
    <row r="112" spans="1:12" ht="29.4" thickBot="1" x14ac:dyDescent="0.35">
      <c r="A112" s="2" t="s">
        <v>70</v>
      </c>
      <c r="B112" s="2" t="s">
        <v>66</v>
      </c>
      <c r="C112" s="2" t="s">
        <v>18</v>
      </c>
      <c r="D112" s="2" t="s">
        <v>12</v>
      </c>
      <c r="E112" s="3">
        <v>980.18</v>
      </c>
      <c r="F112" s="3">
        <v>16</v>
      </c>
      <c r="G112" s="3">
        <v>0.1</v>
      </c>
      <c r="H112" s="4">
        <v>45582</v>
      </c>
      <c r="I112" s="3">
        <v>352.86</v>
      </c>
      <c r="K112">
        <f t="shared" si="3"/>
        <v>15682.88</v>
      </c>
      <c r="L112" s="11">
        <f t="shared" ca="1" si="4"/>
        <v>46301.680254861109</v>
      </c>
    </row>
    <row r="113" spans="1:12" ht="29.4" thickBot="1" x14ac:dyDescent="0.35">
      <c r="A113" s="2" t="s">
        <v>74</v>
      </c>
      <c r="B113" s="2" t="s">
        <v>23</v>
      </c>
      <c r="C113" s="2" t="s">
        <v>11</v>
      </c>
      <c r="D113" s="2" t="s">
        <v>15</v>
      </c>
      <c r="E113" s="3">
        <v>697.57</v>
      </c>
      <c r="F113" s="3">
        <v>17</v>
      </c>
      <c r="G113" s="3">
        <v>0.1</v>
      </c>
      <c r="H113" s="4">
        <v>45584</v>
      </c>
      <c r="I113" s="3">
        <v>313.91000000000003</v>
      </c>
      <c r="K113">
        <f t="shared" si="3"/>
        <v>11858.69</v>
      </c>
      <c r="L113" s="11">
        <f t="shared" ca="1" si="4"/>
        <v>46301.680254861109</v>
      </c>
    </row>
    <row r="114" spans="1:12" ht="29.4" thickBot="1" x14ac:dyDescent="0.35">
      <c r="A114" s="2" t="s">
        <v>46</v>
      </c>
      <c r="B114" s="2" t="s">
        <v>71</v>
      </c>
      <c r="C114" s="2" t="s">
        <v>11</v>
      </c>
      <c r="D114" s="2" t="s">
        <v>27</v>
      </c>
      <c r="E114" s="3">
        <v>1193.6099999999999</v>
      </c>
      <c r="F114" s="3">
        <v>1</v>
      </c>
      <c r="G114" s="3">
        <v>0.15</v>
      </c>
      <c r="H114" s="4">
        <v>45584</v>
      </c>
      <c r="I114" s="3">
        <v>355.1</v>
      </c>
      <c r="K114">
        <f t="shared" si="3"/>
        <v>1193.6099999999999</v>
      </c>
      <c r="L114" s="11">
        <f t="shared" ca="1" si="4"/>
        <v>46301.680254861109</v>
      </c>
    </row>
    <row r="115" spans="1:12" ht="29.4" thickBot="1" x14ac:dyDescent="0.35">
      <c r="A115" s="2" t="s">
        <v>32</v>
      </c>
      <c r="B115" s="2" t="s">
        <v>38</v>
      </c>
      <c r="C115" s="2" t="s">
        <v>20</v>
      </c>
      <c r="D115" s="2" t="s">
        <v>21</v>
      </c>
      <c r="E115" s="3">
        <v>771.02</v>
      </c>
      <c r="F115" s="3">
        <v>1</v>
      </c>
      <c r="G115" s="3">
        <v>0</v>
      </c>
      <c r="H115" s="4">
        <v>45585</v>
      </c>
      <c r="I115" s="3">
        <v>192.76</v>
      </c>
      <c r="K115">
        <f t="shared" si="3"/>
        <v>771.02</v>
      </c>
      <c r="L115" s="11">
        <f t="shared" ca="1" si="4"/>
        <v>46301.680254861109</v>
      </c>
    </row>
    <row r="116" spans="1:12" ht="29.4" thickBot="1" x14ac:dyDescent="0.35">
      <c r="A116" s="2" t="s">
        <v>67</v>
      </c>
      <c r="B116" s="2" t="s">
        <v>69</v>
      </c>
      <c r="C116" s="2" t="s">
        <v>24</v>
      </c>
      <c r="D116" s="2" t="s">
        <v>15</v>
      </c>
      <c r="E116" s="3">
        <v>661.09</v>
      </c>
      <c r="F116" s="3">
        <v>1</v>
      </c>
      <c r="G116" s="3">
        <v>0.2</v>
      </c>
      <c r="H116" s="4">
        <v>45593</v>
      </c>
      <c r="I116" s="3">
        <v>264.44</v>
      </c>
      <c r="K116">
        <f t="shared" si="3"/>
        <v>661.09</v>
      </c>
      <c r="L116" s="11">
        <f t="shared" ca="1" si="4"/>
        <v>46301.680254861109</v>
      </c>
    </row>
    <row r="117" spans="1:12" ht="29.4" thickBot="1" x14ac:dyDescent="0.35">
      <c r="A117" s="2" t="s">
        <v>13</v>
      </c>
      <c r="B117" s="2" t="s">
        <v>55</v>
      </c>
      <c r="C117" s="2" t="s">
        <v>11</v>
      </c>
      <c r="D117" s="2" t="s">
        <v>21</v>
      </c>
      <c r="E117" s="3">
        <v>688.83</v>
      </c>
      <c r="F117" s="3">
        <v>15</v>
      </c>
      <c r="G117" s="3">
        <v>0</v>
      </c>
      <c r="H117" s="4">
        <v>45595</v>
      </c>
      <c r="I117" s="3">
        <v>172.21</v>
      </c>
      <c r="K117">
        <f t="shared" si="3"/>
        <v>10332.450000000001</v>
      </c>
      <c r="L117" s="11">
        <f t="shared" ca="1" si="4"/>
        <v>46301.680254861109</v>
      </c>
    </row>
    <row r="118" spans="1:12" ht="29.4" thickBot="1" x14ac:dyDescent="0.35">
      <c r="A118" s="2" t="s">
        <v>73</v>
      </c>
      <c r="B118" s="2" t="s">
        <v>29</v>
      </c>
      <c r="C118" s="2" t="s">
        <v>34</v>
      </c>
      <c r="D118" s="2" t="s">
        <v>12</v>
      </c>
      <c r="E118" s="3">
        <v>1249.0999999999999</v>
      </c>
      <c r="F118" s="3">
        <v>4</v>
      </c>
      <c r="G118" s="3">
        <v>0.05</v>
      </c>
      <c r="H118" s="4">
        <v>45597</v>
      </c>
      <c r="I118" s="3">
        <v>474.66</v>
      </c>
      <c r="K118">
        <f t="shared" si="3"/>
        <v>4996.3999999999996</v>
      </c>
      <c r="L118" s="11">
        <f t="shared" ca="1" si="4"/>
        <v>46301.680254861109</v>
      </c>
    </row>
    <row r="119" spans="1:12" ht="29.4" thickBot="1" x14ac:dyDescent="0.35">
      <c r="A119" s="2" t="s">
        <v>44</v>
      </c>
      <c r="B119" s="2" t="s">
        <v>23</v>
      </c>
      <c r="C119" s="2" t="s">
        <v>18</v>
      </c>
      <c r="D119" s="2" t="s">
        <v>39</v>
      </c>
      <c r="E119" s="3">
        <v>1014.22</v>
      </c>
      <c r="F119" s="3">
        <v>14</v>
      </c>
      <c r="G119" s="3">
        <v>0.05</v>
      </c>
      <c r="H119" s="4">
        <v>45599</v>
      </c>
      <c r="I119" s="3">
        <v>433.58</v>
      </c>
      <c r="K119">
        <f t="shared" si="3"/>
        <v>14199.08</v>
      </c>
      <c r="L119" s="11">
        <f t="shared" ca="1" si="4"/>
        <v>46301.680254861109</v>
      </c>
    </row>
    <row r="120" spans="1:12" ht="15" thickBot="1" x14ac:dyDescent="0.35">
      <c r="A120" s="2" t="s">
        <v>54</v>
      </c>
      <c r="B120" s="2" t="s">
        <v>48</v>
      </c>
      <c r="C120" s="2" t="s">
        <v>18</v>
      </c>
      <c r="D120" s="2" t="s">
        <v>12</v>
      </c>
      <c r="E120" s="3">
        <v>1010.58</v>
      </c>
      <c r="F120" s="3">
        <v>2</v>
      </c>
      <c r="G120" s="3">
        <v>0.15</v>
      </c>
      <c r="H120" s="4">
        <v>45605</v>
      </c>
      <c r="I120" s="3">
        <v>343.6</v>
      </c>
      <c r="K120">
        <f t="shared" si="3"/>
        <v>2021.16</v>
      </c>
      <c r="L120" s="11">
        <f t="shared" ca="1" si="4"/>
        <v>46301.680254861109</v>
      </c>
    </row>
    <row r="121" spans="1:12" ht="29.4" thickBot="1" x14ac:dyDescent="0.35">
      <c r="A121" s="2" t="s">
        <v>30</v>
      </c>
      <c r="B121" s="2" t="s">
        <v>59</v>
      </c>
      <c r="C121" s="2" t="s">
        <v>24</v>
      </c>
      <c r="D121" s="2" t="s">
        <v>27</v>
      </c>
      <c r="E121" s="3">
        <v>957.29</v>
      </c>
      <c r="F121" s="3">
        <v>4</v>
      </c>
      <c r="G121" s="3">
        <v>0.05</v>
      </c>
      <c r="H121" s="4">
        <v>45605</v>
      </c>
      <c r="I121" s="3">
        <v>318.3</v>
      </c>
      <c r="K121">
        <f t="shared" si="3"/>
        <v>3829.16</v>
      </c>
      <c r="L121" s="11">
        <f t="shared" ca="1" si="4"/>
        <v>46301.680254861109</v>
      </c>
    </row>
    <row r="122" spans="1:12" ht="29.4" thickBot="1" x14ac:dyDescent="0.35">
      <c r="A122" s="2" t="s">
        <v>28</v>
      </c>
      <c r="B122" s="2" t="s">
        <v>45</v>
      </c>
      <c r="C122" s="2" t="s">
        <v>24</v>
      </c>
      <c r="D122" s="2" t="s">
        <v>27</v>
      </c>
      <c r="E122" s="3">
        <v>1077.92</v>
      </c>
      <c r="F122" s="3">
        <v>3</v>
      </c>
      <c r="G122" s="3">
        <v>0.05</v>
      </c>
      <c r="H122" s="4">
        <v>45608</v>
      </c>
      <c r="I122" s="3">
        <v>358.41</v>
      </c>
      <c r="K122">
        <f t="shared" si="3"/>
        <v>3233.76</v>
      </c>
      <c r="L122" s="11">
        <f t="shared" ca="1" si="4"/>
        <v>46301.680254861109</v>
      </c>
    </row>
    <row r="123" spans="1:12" ht="29.4" thickBot="1" x14ac:dyDescent="0.35">
      <c r="A123" s="2" t="s">
        <v>52</v>
      </c>
      <c r="B123" s="2" t="s">
        <v>50</v>
      </c>
      <c r="C123" s="2" t="s">
        <v>20</v>
      </c>
      <c r="D123" s="2" t="s">
        <v>15</v>
      </c>
      <c r="E123" s="3">
        <v>1163.01</v>
      </c>
      <c r="F123" s="3">
        <v>5</v>
      </c>
      <c r="G123" s="3">
        <v>0</v>
      </c>
      <c r="H123" s="4">
        <v>45611</v>
      </c>
      <c r="I123" s="3">
        <v>581.5</v>
      </c>
      <c r="K123">
        <f t="shared" si="3"/>
        <v>5815.05</v>
      </c>
      <c r="L123" s="11">
        <f t="shared" ca="1" si="4"/>
        <v>46301.680254861109</v>
      </c>
    </row>
    <row r="124" spans="1:12" ht="29.4" thickBot="1" x14ac:dyDescent="0.35">
      <c r="A124" s="2" t="s">
        <v>54</v>
      </c>
      <c r="B124" s="2" t="s">
        <v>45</v>
      </c>
      <c r="C124" s="2" t="s">
        <v>18</v>
      </c>
      <c r="D124" s="2" t="s">
        <v>39</v>
      </c>
      <c r="E124" s="3">
        <v>1014.56</v>
      </c>
      <c r="F124" s="3">
        <v>10</v>
      </c>
      <c r="G124" s="3">
        <v>0.1</v>
      </c>
      <c r="H124" s="4">
        <v>45612</v>
      </c>
      <c r="I124" s="3">
        <v>410.9</v>
      </c>
      <c r="K124">
        <f t="shared" si="3"/>
        <v>10145.599999999999</v>
      </c>
      <c r="L124" s="11">
        <f t="shared" ca="1" si="4"/>
        <v>46301.680254861109</v>
      </c>
    </row>
    <row r="125" spans="1:12" ht="29.4" thickBot="1" x14ac:dyDescent="0.35">
      <c r="A125" s="2" t="s">
        <v>9</v>
      </c>
      <c r="B125" s="2" t="s">
        <v>17</v>
      </c>
      <c r="C125" s="2" t="s">
        <v>20</v>
      </c>
      <c r="D125" s="2" t="s">
        <v>21</v>
      </c>
      <c r="E125" s="3">
        <v>718.04</v>
      </c>
      <c r="F125" s="3">
        <v>14</v>
      </c>
      <c r="G125" s="3">
        <v>0</v>
      </c>
      <c r="H125" s="4">
        <v>45613</v>
      </c>
      <c r="I125" s="3">
        <v>179.51</v>
      </c>
      <c r="K125">
        <f t="shared" si="3"/>
        <v>10052.56</v>
      </c>
      <c r="L125" s="11">
        <f t="shared" ca="1" si="4"/>
        <v>46301.680254861109</v>
      </c>
    </row>
    <row r="126" spans="1:12" ht="29.4" thickBot="1" x14ac:dyDescent="0.35">
      <c r="A126" s="2" t="s">
        <v>72</v>
      </c>
      <c r="B126" s="2" t="s">
        <v>17</v>
      </c>
      <c r="C126" s="2" t="s">
        <v>34</v>
      </c>
      <c r="D126" s="2" t="s">
        <v>15</v>
      </c>
      <c r="E126" s="3">
        <v>1277.8499999999999</v>
      </c>
      <c r="F126" s="3">
        <v>18</v>
      </c>
      <c r="G126" s="3">
        <v>0.2</v>
      </c>
      <c r="H126" s="4">
        <v>45613</v>
      </c>
      <c r="I126" s="3">
        <v>511.14</v>
      </c>
      <c r="K126">
        <f t="shared" si="3"/>
        <v>23001.3</v>
      </c>
      <c r="L126" s="11">
        <f t="shared" ca="1" si="4"/>
        <v>46301.680254861109</v>
      </c>
    </row>
    <row r="127" spans="1:12" ht="29.4" thickBot="1" x14ac:dyDescent="0.35">
      <c r="A127" s="2" t="s">
        <v>70</v>
      </c>
      <c r="B127" s="2" t="s">
        <v>23</v>
      </c>
      <c r="C127" s="2" t="s">
        <v>24</v>
      </c>
      <c r="D127" s="2" t="s">
        <v>21</v>
      </c>
      <c r="E127" s="3">
        <v>706.73</v>
      </c>
      <c r="F127" s="3">
        <v>1</v>
      </c>
      <c r="G127" s="3">
        <v>0.15</v>
      </c>
      <c r="H127" s="4">
        <v>45613</v>
      </c>
      <c r="I127" s="3">
        <v>150.18</v>
      </c>
      <c r="K127">
        <f t="shared" si="3"/>
        <v>706.73</v>
      </c>
      <c r="L127" s="11">
        <f t="shared" ca="1" si="4"/>
        <v>46301.680254861109</v>
      </c>
    </row>
    <row r="128" spans="1:12" ht="29.4" thickBot="1" x14ac:dyDescent="0.35">
      <c r="A128" s="2" t="s">
        <v>65</v>
      </c>
      <c r="B128" s="2" t="s">
        <v>50</v>
      </c>
      <c r="C128" s="2" t="s">
        <v>18</v>
      </c>
      <c r="D128" s="2" t="s">
        <v>21</v>
      </c>
      <c r="E128" s="3">
        <v>1410.59</v>
      </c>
      <c r="F128" s="3">
        <v>15</v>
      </c>
      <c r="G128" s="3">
        <v>0</v>
      </c>
      <c r="H128" s="4">
        <v>45615</v>
      </c>
      <c r="I128" s="3">
        <v>352.65</v>
      </c>
      <c r="K128">
        <f t="shared" si="3"/>
        <v>21158.85</v>
      </c>
      <c r="L128" s="11">
        <f t="shared" ca="1" si="4"/>
        <v>46301.680254861109</v>
      </c>
    </row>
    <row r="129" spans="1:12" ht="29.4" thickBot="1" x14ac:dyDescent="0.35">
      <c r="A129" s="2" t="s">
        <v>32</v>
      </c>
      <c r="B129" s="2" t="s">
        <v>61</v>
      </c>
      <c r="C129" s="2" t="s">
        <v>20</v>
      </c>
      <c r="D129" s="2" t="s">
        <v>27</v>
      </c>
      <c r="E129" s="3">
        <v>1350.33</v>
      </c>
      <c r="F129" s="3">
        <v>10</v>
      </c>
      <c r="G129" s="3">
        <v>0</v>
      </c>
      <c r="H129" s="4">
        <v>45615</v>
      </c>
      <c r="I129" s="3">
        <v>472.62</v>
      </c>
      <c r="K129">
        <f t="shared" si="3"/>
        <v>13503.3</v>
      </c>
      <c r="L129" s="11">
        <f t="shared" ca="1" si="4"/>
        <v>46301.680254861109</v>
      </c>
    </row>
    <row r="130" spans="1:12" ht="29.4" thickBot="1" x14ac:dyDescent="0.35">
      <c r="A130" s="2" t="s">
        <v>41</v>
      </c>
      <c r="B130" s="2" t="s">
        <v>45</v>
      </c>
      <c r="C130" s="2" t="s">
        <v>18</v>
      </c>
      <c r="D130" s="2" t="s">
        <v>21</v>
      </c>
      <c r="E130" s="3">
        <v>919.18</v>
      </c>
      <c r="F130" s="3">
        <v>4</v>
      </c>
      <c r="G130" s="3">
        <v>0.15</v>
      </c>
      <c r="H130" s="4">
        <v>45615</v>
      </c>
      <c r="I130" s="3">
        <v>195.33</v>
      </c>
      <c r="K130">
        <f t="shared" si="3"/>
        <v>3676.72</v>
      </c>
      <c r="L130" s="11">
        <f t="shared" ca="1" si="4"/>
        <v>46301.680254861109</v>
      </c>
    </row>
    <row r="131" spans="1:12" ht="29.4" thickBot="1" x14ac:dyDescent="0.35">
      <c r="A131" s="2" t="s">
        <v>74</v>
      </c>
      <c r="B131" s="2" t="s">
        <v>23</v>
      </c>
      <c r="C131" s="2" t="s">
        <v>11</v>
      </c>
      <c r="D131" s="2" t="s">
        <v>21</v>
      </c>
      <c r="E131" s="3">
        <v>258.51</v>
      </c>
      <c r="F131" s="3">
        <v>19</v>
      </c>
      <c r="G131" s="3">
        <v>0</v>
      </c>
      <c r="H131" s="4">
        <v>45616</v>
      </c>
      <c r="I131" s="3">
        <v>64.63</v>
      </c>
      <c r="K131">
        <f t="shared" ref="K131:K194" si="5">E131*F131</f>
        <v>4911.6899999999996</v>
      </c>
      <c r="L131" s="11">
        <f t="shared" ref="L131:L194" ca="1" si="6">NOW()</f>
        <v>46301.680254861109</v>
      </c>
    </row>
    <row r="132" spans="1:12" ht="29.4" thickBot="1" x14ac:dyDescent="0.35">
      <c r="A132" s="2" t="s">
        <v>63</v>
      </c>
      <c r="B132" s="2" t="s">
        <v>61</v>
      </c>
      <c r="C132" s="2" t="s">
        <v>18</v>
      </c>
      <c r="D132" s="2" t="s">
        <v>12</v>
      </c>
      <c r="E132" s="3">
        <v>1213.48</v>
      </c>
      <c r="F132" s="3">
        <v>5</v>
      </c>
      <c r="G132" s="3">
        <v>0.05</v>
      </c>
      <c r="H132" s="4">
        <v>45616</v>
      </c>
      <c r="I132" s="3">
        <v>461.12</v>
      </c>
      <c r="K132">
        <f t="shared" si="5"/>
        <v>6067.4</v>
      </c>
      <c r="L132" s="11">
        <f t="shared" ca="1" si="6"/>
        <v>46301.680254861109</v>
      </c>
    </row>
    <row r="133" spans="1:12" ht="29.4" thickBot="1" x14ac:dyDescent="0.35">
      <c r="A133" s="2" t="s">
        <v>57</v>
      </c>
      <c r="B133" s="2" t="s">
        <v>38</v>
      </c>
      <c r="C133" s="2" t="s">
        <v>34</v>
      </c>
      <c r="D133" s="2" t="s">
        <v>12</v>
      </c>
      <c r="E133" s="3">
        <v>1150.28</v>
      </c>
      <c r="F133" s="3">
        <v>8</v>
      </c>
      <c r="G133" s="3">
        <v>0.05</v>
      </c>
      <c r="H133" s="4">
        <v>45622</v>
      </c>
      <c r="I133" s="3">
        <v>437.11</v>
      </c>
      <c r="K133">
        <f t="shared" si="5"/>
        <v>9202.24</v>
      </c>
      <c r="L133" s="11">
        <f t="shared" ca="1" si="6"/>
        <v>46301.680254861109</v>
      </c>
    </row>
    <row r="134" spans="1:12" ht="29.4" thickBot="1" x14ac:dyDescent="0.35">
      <c r="A134" s="2" t="s">
        <v>37</v>
      </c>
      <c r="B134" s="2" t="s">
        <v>71</v>
      </c>
      <c r="C134" s="2" t="s">
        <v>20</v>
      </c>
      <c r="D134" s="2" t="s">
        <v>27</v>
      </c>
      <c r="E134" s="3">
        <v>853.86</v>
      </c>
      <c r="F134" s="3">
        <v>8</v>
      </c>
      <c r="G134" s="3">
        <v>0.1</v>
      </c>
      <c r="H134" s="4">
        <v>45622</v>
      </c>
      <c r="I134" s="3">
        <v>268.97000000000003</v>
      </c>
      <c r="K134">
        <f t="shared" si="5"/>
        <v>6830.88</v>
      </c>
      <c r="L134" s="11">
        <f t="shared" ca="1" si="6"/>
        <v>46301.680254861109</v>
      </c>
    </row>
    <row r="135" spans="1:12" ht="29.4" thickBot="1" x14ac:dyDescent="0.35">
      <c r="A135" s="2" t="s">
        <v>75</v>
      </c>
      <c r="B135" s="2" t="s">
        <v>45</v>
      </c>
      <c r="C135" s="2" t="s">
        <v>20</v>
      </c>
      <c r="D135" s="2" t="s">
        <v>21</v>
      </c>
      <c r="E135" s="3">
        <v>1061.04</v>
      </c>
      <c r="F135" s="3">
        <v>1</v>
      </c>
      <c r="G135" s="3">
        <v>0</v>
      </c>
      <c r="H135" s="4">
        <v>45624</v>
      </c>
      <c r="I135" s="3">
        <v>265.26</v>
      </c>
      <c r="K135">
        <f t="shared" si="5"/>
        <v>1061.04</v>
      </c>
      <c r="L135" s="11">
        <f t="shared" ca="1" si="6"/>
        <v>46301.680254861109</v>
      </c>
    </row>
    <row r="136" spans="1:12" ht="29.4" thickBot="1" x14ac:dyDescent="0.35">
      <c r="A136" s="2" t="s">
        <v>28</v>
      </c>
      <c r="B136" s="2" t="s">
        <v>43</v>
      </c>
      <c r="C136" s="2" t="s">
        <v>11</v>
      </c>
      <c r="D136" s="2" t="s">
        <v>21</v>
      </c>
      <c r="E136" s="3">
        <v>894.55</v>
      </c>
      <c r="F136" s="3">
        <v>19</v>
      </c>
      <c r="G136" s="3">
        <v>0.2</v>
      </c>
      <c r="H136" s="4">
        <v>45625</v>
      </c>
      <c r="I136" s="3">
        <v>178.91</v>
      </c>
      <c r="K136">
        <f t="shared" si="5"/>
        <v>16996.45</v>
      </c>
      <c r="L136" s="11">
        <f t="shared" ca="1" si="6"/>
        <v>46301.680254861109</v>
      </c>
    </row>
    <row r="137" spans="1:12" ht="29.4" thickBot="1" x14ac:dyDescent="0.35">
      <c r="A137" s="2" t="s">
        <v>25</v>
      </c>
      <c r="B137" s="2" t="s">
        <v>38</v>
      </c>
      <c r="C137" s="2" t="s">
        <v>24</v>
      </c>
      <c r="D137" s="2" t="s">
        <v>39</v>
      </c>
      <c r="E137" s="3">
        <v>833.91</v>
      </c>
      <c r="F137" s="3">
        <v>3</v>
      </c>
      <c r="G137" s="3">
        <v>0.05</v>
      </c>
      <c r="H137" s="4">
        <v>45626</v>
      </c>
      <c r="I137" s="3">
        <v>356.5</v>
      </c>
      <c r="K137">
        <f t="shared" si="5"/>
        <v>2501.73</v>
      </c>
      <c r="L137" s="11">
        <f t="shared" ca="1" si="6"/>
        <v>46301.680254861109</v>
      </c>
    </row>
    <row r="138" spans="1:12" ht="29.4" thickBot="1" x14ac:dyDescent="0.35">
      <c r="A138" s="2" t="s">
        <v>58</v>
      </c>
      <c r="B138" s="2" t="s">
        <v>71</v>
      </c>
      <c r="C138" s="2" t="s">
        <v>11</v>
      </c>
      <c r="D138" s="2" t="s">
        <v>27</v>
      </c>
      <c r="E138" s="3">
        <v>820.19</v>
      </c>
      <c r="F138" s="3">
        <v>4</v>
      </c>
      <c r="G138" s="3">
        <v>0.2</v>
      </c>
      <c r="H138" s="4">
        <v>45630</v>
      </c>
      <c r="I138" s="3">
        <v>229.65</v>
      </c>
      <c r="K138">
        <f t="shared" si="5"/>
        <v>3280.76</v>
      </c>
      <c r="L138" s="11">
        <f t="shared" ca="1" si="6"/>
        <v>46301.680254861109</v>
      </c>
    </row>
    <row r="139" spans="1:12" ht="29.4" thickBot="1" x14ac:dyDescent="0.35">
      <c r="A139" s="2" t="s">
        <v>58</v>
      </c>
      <c r="B139" s="2" t="s">
        <v>38</v>
      </c>
      <c r="C139" s="2" t="s">
        <v>34</v>
      </c>
      <c r="D139" s="2" t="s">
        <v>21</v>
      </c>
      <c r="E139" s="3">
        <v>511.74</v>
      </c>
      <c r="F139" s="3">
        <v>8</v>
      </c>
      <c r="G139" s="3">
        <v>0.05</v>
      </c>
      <c r="H139" s="4">
        <v>45631</v>
      </c>
      <c r="I139" s="3">
        <v>121.54</v>
      </c>
      <c r="K139">
        <f t="shared" si="5"/>
        <v>4093.92</v>
      </c>
      <c r="L139" s="11">
        <f t="shared" ca="1" si="6"/>
        <v>46301.680254861109</v>
      </c>
    </row>
    <row r="140" spans="1:12" ht="29.4" thickBot="1" x14ac:dyDescent="0.35">
      <c r="A140" s="2" t="s">
        <v>65</v>
      </c>
      <c r="B140" s="2" t="s">
        <v>61</v>
      </c>
      <c r="C140" s="2" t="s">
        <v>20</v>
      </c>
      <c r="D140" s="2" t="s">
        <v>27</v>
      </c>
      <c r="E140" s="3">
        <v>806.03</v>
      </c>
      <c r="F140" s="3">
        <v>19</v>
      </c>
      <c r="G140" s="3">
        <v>0.05</v>
      </c>
      <c r="H140" s="4">
        <v>45638</v>
      </c>
      <c r="I140" s="3">
        <v>268</v>
      </c>
      <c r="K140">
        <f t="shared" si="5"/>
        <v>15314.57</v>
      </c>
      <c r="L140" s="11">
        <f t="shared" ca="1" si="6"/>
        <v>46301.680254861109</v>
      </c>
    </row>
    <row r="141" spans="1:12" ht="29.4" thickBot="1" x14ac:dyDescent="0.35">
      <c r="A141" s="2" t="s">
        <v>28</v>
      </c>
      <c r="B141" s="2" t="s">
        <v>26</v>
      </c>
      <c r="C141" s="2" t="s">
        <v>34</v>
      </c>
      <c r="D141" s="2" t="s">
        <v>27</v>
      </c>
      <c r="E141" s="3">
        <v>1432.47</v>
      </c>
      <c r="F141" s="3">
        <v>16</v>
      </c>
      <c r="G141" s="3">
        <v>0.15</v>
      </c>
      <c r="H141" s="4">
        <v>45640</v>
      </c>
      <c r="I141" s="3">
        <v>426.16</v>
      </c>
      <c r="K141">
        <f t="shared" si="5"/>
        <v>22919.52</v>
      </c>
      <c r="L141" s="11">
        <f t="shared" ca="1" si="6"/>
        <v>46301.680254861109</v>
      </c>
    </row>
    <row r="142" spans="1:12" ht="29.4" thickBot="1" x14ac:dyDescent="0.35">
      <c r="A142" s="2" t="s">
        <v>74</v>
      </c>
      <c r="B142" s="2" t="s">
        <v>29</v>
      </c>
      <c r="C142" s="2" t="s">
        <v>34</v>
      </c>
      <c r="D142" s="2" t="s">
        <v>21</v>
      </c>
      <c r="E142" s="3">
        <v>1488.58</v>
      </c>
      <c r="F142" s="3">
        <v>10</v>
      </c>
      <c r="G142" s="3">
        <v>0.15</v>
      </c>
      <c r="H142" s="4">
        <v>45640</v>
      </c>
      <c r="I142" s="3">
        <v>316.32</v>
      </c>
      <c r="K142">
        <f t="shared" si="5"/>
        <v>14885.8</v>
      </c>
      <c r="L142" s="11">
        <f t="shared" ca="1" si="6"/>
        <v>46301.680254861109</v>
      </c>
    </row>
    <row r="143" spans="1:12" ht="29.4" thickBot="1" x14ac:dyDescent="0.35">
      <c r="A143" s="2" t="s">
        <v>30</v>
      </c>
      <c r="B143" s="2" t="s">
        <v>66</v>
      </c>
      <c r="C143" s="2" t="s">
        <v>18</v>
      </c>
      <c r="D143" s="2" t="s">
        <v>12</v>
      </c>
      <c r="E143" s="3">
        <v>1231.26</v>
      </c>
      <c r="F143" s="3">
        <v>9</v>
      </c>
      <c r="G143" s="3">
        <v>0</v>
      </c>
      <c r="H143" s="4">
        <v>45646</v>
      </c>
      <c r="I143" s="3">
        <v>492.5</v>
      </c>
      <c r="K143">
        <f t="shared" si="5"/>
        <v>11081.34</v>
      </c>
      <c r="L143" s="11">
        <f t="shared" ca="1" si="6"/>
        <v>46301.680254861109</v>
      </c>
    </row>
    <row r="144" spans="1:12" ht="29.4" thickBot="1" x14ac:dyDescent="0.35">
      <c r="A144" s="2" t="s">
        <v>30</v>
      </c>
      <c r="B144" s="2" t="s">
        <v>43</v>
      </c>
      <c r="C144" s="2" t="s">
        <v>11</v>
      </c>
      <c r="D144" s="2" t="s">
        <v>21</v>
      </c>
      <c r="E144" s="3">
        <v>1161.67</v>
      </c>
      <c r="F144" s="3">
        <v>19</v>
      </c>
      <c r="G144" s="3">
        <v>0.2</v>
      </c>
      <c r="H144" s="4">
        <v>45647</v>
      </c>
      <c r="I144" s="3">
        <v>232.33</v>
      </c>
      <c r="K144">
        <f t="shared" si="5"/>
        <v>22071.730000000003</v>
      </c>
      <c r="L144" s="11">
        <f t="shared" ca="1" si="6"/>
        <v>46301.680254861109</v>
      </c>
    </row>
    <row r="145" spans="1:12" ht="29.4" thickBot="1" x14ac:dyDescent="0.35">
      <c r="A145" s="2" t="s">
        <v>49</v>
      </c>
      <c r="B145" s="2" t="s">
        <v>45</v>
      </c>
      <c r="C145" s="2" t="s">
        <v>34</v>
      </c>
      <c r="D145" s="2" t="s">
        <v>39</v>
      </c>
      <c r="E145" s="3">
        <v>388.23</v>
      </c>
      <c r="F145" s="3">
        <v>16</v>
      </c>
      <c r="G145" s="3">
        <v>0.05</v>
      </c>
      <c r="H145" s="4">
        <v>45650</v>
      </c>
      <c r="I145" s="3">
        <v>165.97</v>
      </c>
      <c r="K145">
        <f t="shared" si="5"/>
        <v>6211.68</v>
      </c>
      <c r="L145" s="11">
        <f t="shared" ca="1" si="6"/>
        <v>46301.680254861109</v>
      </c>
    </row>
    <row r="146" spans="1:12" ht="29.4" thickBot="1" x14ac:dyDescent="0.35">
      <c r="A146" s="2" t="s">
        <v>72</v>
      </c>
      <c r="B146" s="2" t="s">
        <v>31</v>
      </c>
      <c r="C146" s="2" t="s">
        <v>24</v>
      </c>
      <c r="D146" s="2" t="s">
        <v>15</v>
      </c>
      <c r="E146" s="3">
        <v>1589.42</v>
      </c>
      <c r="F146" s="3">
        <v>6</v>
      </c>
      <c r="G146" s="3">
        <v>0.15</v>
      </c>
      <c r="H146" s="4">
        <v>45651</v>
      </c>
      <c r="I146" s="3">
        <v>675.5</v>
      </c>
      <c r="K146">
        <f t="shared" si="5"/>
        <v>9536.52</v>
      </c>
      <c r="L146" s="11">
        <f t="shared" ca="1" si="6"/>
        <v>46301.680254861109</v>
      </c>
    </row>
    <row r="147" spans="1:12" ht="29.4" thickBot="1" x14ac:dyDescent="0.35">
      <c r="A147" s="2" t="s">
        <v>28</v>
      </c>
      <c r="B147" s="2" t="s">
        <v>71</v>
      </c>
      <c r="C147" s="2" t="s">
        <v>24</v>
      </c>
      <c r="D147" s="2" t="s">
        <v>15</v>
      </c>
      <c r="E147" s="3">
        <v>336.66</v>
      </c>
      <c r="F147" s="3">
        <v>13</v>
      </c>
      <c r="G147" s="3">
        <v>0.2</v>
      </c>
      <c r="H147" s="4">
        <v>45651</v>
      </c>
      <c r="I147" s="3">
        <v>134.66</v>
      </c>
      <c r="K147">
        <f t="shared" si="5"/>
        <v>4376.58</v>
      </c>
      <c r="L147" s="11">
        <f t="shared" ca="1" si="6"/>
        <v>46301.680254861109</v>
      </c>
    </row>
    <row r="148" spans="1:12" ht="29.4" thickBot="1" x14ac:dyDescent="0.35">
      <c r="A148" s="2" t="s">
        <v>49</v>
      </c>
      <c r="B148" s="2" t="s">
        <v>23</v>
      </c>
      <c r="C148" s="2" t="s">
        <v>11</v>
      </c>
      <c r="D148" s="2" t="s">
        <v>12</v>
      </c>
      <c r="E148" s="3">
        <v>1353.79</v>
      </c>
      <c r="F148" s="3">
        <v>14</v>
      </c>
      <c r="G148" s="3">
        <v>0.1</v>
      </c>
      <c r="H148" s="4">
        <v>45656</v>
      </c>
      <c r="I148" s="3">
        <v>487.36</v>
      </c>
      <c r="K148">
        <f t="shared" si="5"/>
        <v>18953.059999999998</v>
      </c>
      <c r="L148" s="11">
        <f t="shared" ca="1" si="6"/>
        <v>46301.680254861109</v>
      </c>
    </row>
    <row r="149" spans="1:12" ht="29.4" thickBot="1" x14ac:dyDescent="0.35">
      <c r="A149" s="2" t="s">
        <v>63</v>
      </c>
      <c r="B149" s="2" t="s">
        <v>69</v>
      </c>
      <c r="C149" s="2" t="s">
        <v>34</v>
      </c>
      <c r="D149" s="2" t="s">
        <v>15</v>
      </c>
      <c r="E149" s="3">
        <v>662.61</v>
      </c>
      <c r="F149" s="3">
        <v>11</v>
      </c>
      <c r="G149" s="3">
        <v>0.05</v>
      </c>
      <c r="H149" s="4">
        <v>45658</v>
      </c>
      <c r="I149" s="3">
        <v>314.74</v>
      </c>
      <c r="K149">
        <f t="shared" si="5"/>
        <v>7288.71</v>
      </c>
      <c r="L149" s="11">
        <f t="shared" ca="1" si="6"/>
        <v>46301.680254861109</v>
      </c>
    </row>
    <row r="150" spans="1:12" ht="29.4" thickBot="1" x14ac:dyDescent="0.35">
      <c r="A150" s="2" t="s">
        <v>52</v>
      </c>
      <c r="B150" s="2" t="s">
        <v>48</v>
      </c>
      <c r="C150" s="2" t="s">
        <v>24</v>
      </c>
      <c r="D150" s="2" t="s">
        <v>39</v>
      </c>
      <c r="E150" s="3">
        <v>309.42</v>
      </c>
      <c r="F150" s="3">
        <v>1</v>
      </c>
      <c r="G150" s="3">
        <v>0.2</v>
      </c>
      <c r="H150" s="4">
        <v>45658</v>
      </c>
      <c r="I150" s="3">
        <v>111.39</v>
      </c>
      <c r="K150">
        <f t="shared" si="5"/>
        <v>309.42</v>
      </c>
      <c r="L150" s="11">
        <f t="shared" ca="1" si="6"/>
        <v>46301.680254861109</v>
      </c>
    </row>
    <row r="151" spans="1:12" ht="29.4" thickBot="1" x14ac:dyDescent="0.35">
      <c r="A151" s="2" t="s">
        <v>63</v>
      </c>
      <c r="B151" s="2" t="s">
        <v>29</v>
      </c>
      <c r="C151" s="2" t="s">
        <v>24</v>
      </c>
      <c r="D151" s="2" t="s">
        <v>12</v>
      </c>
      <c r="E151" s="3">
        <v>884.63</v>
      </c>
      <c r="F151" s="3">
        <v>18</v>
      </c>
      <c r="G151" s="3">
        <v>0.1</v>
      </c>
      <c r="H151" s="4">
        <v>45659</v>
      </c>
      <c r="I151" s="3">
        <v>318.47000000000003</v>
      </c>
      <c r="K151">
        <f t="shared" si="5"/>
        <v>15923.34</v>
      </c>
      <c r="L151" s="11">
        <f t="shared" ca="1" si="6"/>
        <v>46301.680254861109</v>
      </c>
    </row>
    <row r="152" spans="1:12" ht="29.4" thickBot="1" x14ac:dyDescent="0.35">
      <c r="A152" s="2" t="s">
        <v>52</v>
      </c>
      <c r="B152" s="2" t="s">
        <v>23</v>
      </c>
      <c r="C152" s="2" t="s">
        <v>34</v>
      </c>
      <c r="D152" s="2" t="s">
        <v>39</v>
      </c>
      <c r="E152" s="3">
        <v>745.05</v>
      </c>
      <c r="F152" s="3">
        <v>10</v>
      </c>
      <c r="G152" s="3">
        <v>0.1</v>
      </c>
      <c r="H152" s="4">
        <v>45660</v>
      </c>
      <c r="I152" s="3">
        <v>301.75</v>
      </c>
      <c r="K152">
        <f t="shared" si="5"/>
        <v>7450.5</v>
      </c>
      <c r="L152" s="11">
        <f t="shared" ca="1" si="6"/>
        <v>46301.680254861109</v>
      </c>
    </row>
    <row r="153" spans="1:12" ht="29.4" thickBot="1" x14ac:dyDescent="0.35">
      <c r="A153" s="2" t="s">
        <v>60</v>
      </c>
      <c r="B153" s="2" t="s">
        <v>17</v>
      </c>
      <c r="C153" s="2" t="s">
        <v>20</v>
      </c>
      <c r="D153" s="2" t="s">
        <v>15</v>
      </c>
      <c r="E153" s="3">
        <v>870.23</v>
      </c>
      <c r="F153" s="3">
        <v>5</v>
      </c>
      <c r="G153" s="3">
        <v>0.05</v>
      </c>
      <c r="H153" s="4">
        <v>45660</v>
      </c>
      <c r="I153" s="3">
        <v>413.36</v>
      </c>
      <c r="K153">
        <f t="shared" si="5"/>
        <v>4351.1499999999996</v>
      </c>
      <c r="L153" s="11">
        <f t="shared" ca="1" si="6"/>
        <v>46301.680254861109</v>
      </c>
    </row>
    <row r="154" spans="1:12" ht="29.4" thickBot="1" x14ac:dyDescent="0.35">
      <c r="A154" s="2" t="s">
        <v>35</v>
      </c>
      <c r="B154" s="2" t="s">
        <v>29</v>
      </c>
      <c r="C154" s="2" t="s">
        <v>11</v>
      </c>
      <c r="D154" s="2" t="s">
        <v>27</v>
      </c>
      <c r="E154" s="3">
        <v>862.19</v>
      </c>
      <c r="F154" s="3">
        <v>18</v>
      </c>
      <c r="G154" s="3">
        <v>0.05</v>
      </c>
      <c r="H154" s="4">
        <v>45663</v>
      </c>
      <c r="I154" s="3">
        <v>286.68</v>
      </c>
      <c r="K154">
        <f t="shared" si="5"/>
        <v>15519.420000000002</v>
      </c>
      <c r="L154" s="11">
        <f t="shared" ca="1" si="6"/>
        <v>46301.680254861109</v>
      </c>
    </row>
    <row r="155" spans="1:12" ht="29.4" thickBot="1" x14ac:dyDescent="0.35">
      <c r="A155" s="2" t="s">
        <v>73</v>
      </c>
      <c r="B155" s="2" t="s">
        <v>59</v>
      </c>
      <c r="C155" s="2" t="s">
        <v>24</v>
      </c>
      <c r="D155" s="2" t="s">
        <v>15</v>
      </c>
      <c r="E155" s="3">
        <v>1171.18</v>
      </c>
      <c r="F155" s="3">
        <v>19</v>
      </c>
      <c r="G155" s="3">
        <v>0.05</v>
      </c>
      <c r="H155" s="4">
        <v>45667</v>
      </c>
      <c r="I155" s="3">
        <v>556.30999999999995</v>
      </c>
      <c r="K155">
        <f t="shared" si="5"/>
        <v>22252.420000000002</v>
      </c>
      <c r="L155" s="11">
        <f t="shared" ca="1" si="6"/>
        <v>46301.680254861109</v>
      </c>
    </row>
    <row r="156" spans="1:12" ht="29.4" thickBot="1" x14ac:dyDescent="0.35">
      <c r="A156" s="2" t="s">
        <v>58</v>
      </c>
      <c r="B156" s="2" t="s">
        <v>14</v>
      </c>
      <c r="C156" s="2" t="s">
        <v>20</v>
      </c>
      <c r="D156" s="2" t="s">
        <v>27</v>
      </c>
      <c r="E156" s="3">
        <v>1054.56</v>
      </c>
      <c r="F156" s="3">
        <v>11</v>
      </c>
      <c r="G156" s="3">
        <v>0.1</v>
      </c>
      <c r="H156" s="4">
        <v>45669</v>
      </c>
      <c r="I156" s="3">
        <v>332.19</v>
      </c>
      <c r="K156">
        <f t="shared" si="5"/>
        <v>11600.16</v>
      </c>
      <c r="L156" s="11">
        <f t="shared" ca="1" si="6"/>
        <v>46301.680254861109</v>
      </c>
    </row>
    <row r="157" spans="1:12" ht="29.4" thickBot="1" x14ac:dyDescent="0.35">
      <c r="A157" s="2" t="s">
        <v>58</v>
      </c>
      <c r="B157" s="2" t="s">
        <v>23</v>
      </c>
      <c r="C157" s="2" t="s">
        <v>24</v>
      </c>
      <c r="D157" s="2" t="s">
        <v>21</v>
      </c>
      <c r="E157" s="3">
        <v>1681.21</v>
      </c>
      <c r="F157" s="3">
        <v>5</v>
      </c>
      <c r="G157" s="3">
        <v>0.2</v>
      </c>
      <c r="H157" s="4">
        <v>45670</v>
      </c>
      <c r="I157" s="3">
        <v>336.24</v>
      </c>
      <c r="K157">
        <f t="shared" si="5"/>
        <v>8406.0499999999993</v>
      </c>
      <c r="L157" s="11">
        <f t="shared" ca="1" si="6"/>
        <v>46301.680254861109</v>
      </c>
    </row>
    <row r="158" spans="1:12" ht="29.4" thickBot="1" x14ac:dyDescent="0.35">
      <c r="A158" s="2" t="s">
        <v>58</v>
      </c>
      <c r="B158" s="2" t="s">
        <v>36</v>
      </c>
      <c r="C158" s="2" t="s">
        <v>11</v>
      </c>
      <c r="D158" s="2" t="s">
        <v>15</v>
      </c>
      <c r="E158" s="3">
        <v>379.77</v>
      </c>
      <c r="F158" s="3">
        <v>9</v>
      </c>
      <c r="G158" s="3">
        <v>0.05</v>
      </c>
      <c r="H158" s="4">
        <v>45673</v>
      </c>
      <c r="I158" s="3">
        <v>180.39</v>
      </c>
      <c r="K158">
        <f t="shared" si="5"/>
        <v>3417.93</v>
      </c>
      <c r="L158" s="11">
        <f t="shared" ca="1" si="6"/>
        <v>46301.680254861109</v>
      </c>
    </row>
    <row r="159" spans="1:12" ht="29.4" thickBot="1" x14ac:dyDescent="0.35">
      <c r="A159" s="2" t="s">
        <v>44</v>
      </c>
      <c r="B159" s="2" t="s">
        <v>45</v>
      </c>
      <c r="C159" s="2" t="s">
        <v>34</v>
      </c>
      <c r="D159" s="2" t="s">
        <v>15</v>
      </c>
      <c r="E159" s="3">
        <v>1076.33</v>
      </c>
      <c r="F159" s="3">
        <v>2</v>
      </c>
      <c r="G159" s="3">
        <v>0.1</v>
      </c>
      <c r="H159" s="4">
        <v>45674</v>
      </c>
      <c r="I159" s="3">
        <v>484.35</v>
      </c>
      <c r="K159">
        <f t="shared" si="5"/>
        <v>2152.66</v>
      </c>
      <c r="L159" s="11">
        <f t="shared" ca="1" si="6"/>
        <v>46301.680254861109</v>
      </c>
    </row>
    <row r="160" spans="1:12" ht="29.4" thickBot="1" x14ac:dyDescent="0.35">
      <c r="A160" s="2" t="s">
        <v>44</v>
      </c>
      <c r="B160" s="2" t="s">
        <v>31</v>
      </c>
      <c r="C160" s="2" t="s">
        <v>34</v>
      </c>
      <c r="D160" s="2" t="s">
        <v>39</v>
      </c>
      <c r="E160" s="3">
        <v>1250.71</v>
      </c>
      <c r="F160" s="3">
        <v>7</v>
      </c>
      <c r="G160" s="3">
        <v>0</v>
      </c>
      <c r="H160" s="4">
        <v>45674</v>
      </c>
      <c r="I160" s="3">
        <v>562.82000000000005</v>
      </c>
      <c r="K160">
        <f t="shared" si="5"/>
        <v>8754.9700000000012</v>
      </c>
      <c r="L160" s="11">
        <f t="shared" ca="1" si="6"/>
        <v>46301.680254861109</v>
      </c>
    </row>
    <row r="161" spans="1:12" ht="29.4" thickBot="1" x14ac:dyDescent="0.35">
      <c r="A161" s="2" t="s">
        <v>40</v>
      </c>
      <c r="B161" s="2" t="s">
        <v>17</v>
      </c>
      <c r="C161" s="2" t="s">
        <v>20</v>
      </c>
      <c r="D161" s="2" t="s">
        <v>15</v>
      </c>
      <c r="E161" s="3">
        <v>1118.3399999999999</v>
      </c>
      <c r="F161" s="3">
        <v>6</v>
      </c>
      <c r="G161" s="3">
        <v>0.2</v>
      </c>
      <c r="H161" s="4">
        <v>45674</v>
      </c>
      <c r="I161" s="3">
        <v>447.34</v>
      </c>
      <c r="K161">
        <f t="shared" si="5"/>
        <v>6710.0399999999991</v>
      </c>
      <c r="L161" s="11">
        <f t="shared" ca="1" si="6"/>
        <v>46301.680254861109</v>
      </c>
    </row>
    <row r="162" spans="1:12" ht="29.4" thickBot="1" x14ac:dyDescent="0.35">
      <c r="A162" s="2" t="s">
        <v>70</v>
      </c>
      <c r="B162" s="2" t="s">
        <v>53</v>
      </c>
      <c r="C162" s="2" t="s">
        <v>24</v>
      </c>
      <c r="D162" s="2" t="s">
        <v>15</v>
      </c>
      <c r="E162" s="3">
        <v>1622.62</v>
      </c>
      <c r="F162" s="3">
        <v>12</v>
      </c>
      <c r="G162" s="3">
        <v>0.2</v>
      </c>
      <c r="H162" s="4">
        <v>45677</v>
      </c>
      <c r="I162" s="3">
        <v>649.04999999999995</v>
      </c>
      <c r="K162">
        <f t="shared" si="5"/>
        <v>19471.439999999999</v>
      </c>
      <c r="L162" s="11">
        <f t="shared" ca="1" si="6"/>
        <v>46301.680254861109</v>
      </c>
    </row>
    <row r="163" spans="1:12" ht="15" thickBot="1" x14ac:dyDescent="0.35">
      <c r="A163" s="2" t="s">
        <v>75</v>
      </c>
      <c r="B163" s="2" t="s">
        <v>48</v>
      </c>
      <c r="C163" s="2" t="s">
        <v>24</v>
      </c>
      <c r="D163" s="2" t="s">
        <v>12</v>
      </c>
      <c r="E163" s="3">
        <v>640.64</v>
      </c>
      <c r="F163" s="3">
        <v>11</v>
      </c>
      <c r="G163" s="3">
        <v>0.2</v>
      </c>
      <c r="H163" s="4">
        <v>45678</v>
      </c>
      <c r="I163" s="3">
        <v>205</v>
      </c>
      <c r="K163">
        <f t="shared" si="5"/>
        <v>7047.04</v>
      </c>
      <c r="L163" s="11">
        <f t="shared" ca="1" si="6"/>
        <v>46301.680254861109</v>
      </c>
    </row>
    <row r="164" spans="1:12" ht="29.4" thickBot="1" x14ac:dyDescent="0.35">
      <c r="A164" s="2" t="s">
        <v>22</v>
      </c>
      <c r="B164" s="2" t="s">
        <v>43</v>
      </c>
      <c r="C164" s="2" t="s">
        <v>11</v>
      </c>
      <c r="D164" s="2" t="s">
        <v>15</v>
      </c>
      <c r="E164" s="3">
        <v>585.16</v>
      </c>
      <c r="F164" s="3">
        <v>17</v>
      </c>
      <c r="G164" s="3">
        <v>0.1</v>
      </c>
      <c r="H164" s="4">
        <v>45684</v>
      </c>
      <c r="I164" s="3">
        <v>263.32</v>
      </c>
      <c r="K164">
        <f t="shared" si="5"/>
        <v>9947.7199999999993</v>
      </c>
      <c r="L164" s="11">
        <f t="shared" ca="1" si="6"/>
        <v>46301.680254861109</v>
      </c>
    </row>
    <row r="165" spans="1:12" ht="29.4" thickBot="1" x14ac:dyDescent="0.35">
      <c r="A165" s="2" t="s">
        <v>22</v>
      </c>
      <c r="B165" s="2" t="s">
        <v>31</v>
      </c>
      <c r="C165" s="2" t="s">
        <v>18</v>
      </c>
      <c r="D165" s="2" t="s">
        <v>15</v>
      </c>
      <c r="E165" s="3">
        <v>1109.98</v>
      </c>
      <c r="F165" s="3">
        <v>5</v>
      </c>
      <c r="G165" s="3">
        <v>0.2</v>
      </c>
      <c r="H165" s="4">
        <v>45690</v>
      </c>
      <c r="I165" s="3">
        <v>443.99</v>
      </c>
      <c r="K165">
        <f t="shared" si="5"/>
        <v>5549.9</v>
      </c>
      <c r="L165" s="11">
        <f t="shared" ca="1" si="6"/>
        <v>46301.680254861109</v>
      </c>
    </row>
    <row r="166" spans="1:12" ht="29.4" thickBot="1" x14ac:dyDescent="0.35">
      <c r="A166" s="2" t="s">
        <v>58</v>
      </c>
      <c r="B166" s="2" t="s">
        <v>45</v>
      </c>
      <c r="C166" s="2" t="s">
        <v>18</v>
      </c>
      <c r="D166" s="2" t="s">
        <v>12</v>
      </c>
      <c r="E166" s="3">
        <v>1098.08</v>
      </c>
      <c r="F166" s="3">
        <v>9</v>
      </c>
      <c r="G166" s="3">
        <v>0.1</v>
      </c>
      <c r="H166" s="4">
        <v>45692</v>
      </c>
      <c r="I166" s="3">
        <v>395.31</v>
      </c>
      <c r="K166">
        <f t="shared" si="5"/>
        <v>9882.7199999999993</v>
      </c>
      <c r="L166" s="11">
        <f t="shared" ca="1" si="6"/>
        <v>46301.680254861109</v>
      </c>
    </row>
    <row r="167" spans="1:12" ht="29.4" thickBot="1" x14ac:dyDescent="0.35">
      <c r="A167" s="2" t="s">
        <v>65</v>
      </c>
      <c r="B167" s="2" t="s">
        <v>48</v>
      </c>
      <c r="C167" s="2" t="s">
        <v>11</v>
      </c>
      <c r="D167" s="2" t="s">
        <v>39</v>
      </c>
      <c r="E167" s="3">
        <v>827.25</v>
      </c>
      <c r="F167" s="3">
        <v>7</v>
      </c>
      <c r="G167" s="3">
        <v>0.1</v>
      </c>
      <c r="H167" s="4">
        <v>45693</v>
      </c>
      <c r="I167" s="3">
        <v>335.04</v>
      </c>
      <c r="K167">
        <f t="shared" si="5"/>
        <v>5790.75</v>
      </c>
      <c r="L167" s="11">
        <f t="shared" ca="1" si="6"/>
        <v>46301.680254861109</v>
      </c>
    </row>
    <row r="168" spans="1:12" ht="29.4" thickBot="1" x14ac:dyDescent="0.35">
      <c r="A168" s="2" t="s">
        <v>70</v>
      </c>
      <c r="B168" s="2" t="s">
        <v>29</v>
      </c>
      <c r="C168" s="2" t="s">
        <v>34</v>
      </c>
      <c r="D168" s="2" t="s">
        <v>15</v>
      </c>
      <c r="E168" s="3">
        <v>741.88</v>
      </c>
      <c r="F168" s="3">
        <v>16</v>
      </c>
      <c r="G168" s="3">
        <v>0.1</v>
      </c>
      <c r="H168" s="4">
        <v>45695</v>
      </c>
      <c r="I168" s="3">
        <v>333.85</v>
      </c>
      <c r="K168">
        <f t="shared" si="5"/>
        <v>11870.08</v>
      </c>
      <c r="L168" s="11">
        <f t="shared" ca="1" si="6"/>
        <v>46301.680254861109</v>
      </c>
    </row>
    <row r="169" spans="1:12" ht="29.4" thickBot="1" x14ac:dyDescent="0.35">
      <c r="A169" s="2" t="s">
        <v>72</v>
      </c>
      <c r="B169" s="2" t="s">
        <v>10</v>
      </c>
      <c r="C169" s="2" t="s">
        <v>18</v>
      </c>
      <c r="D169" s="2" t="s">
        <v>39</v>
      </c>
      <c r="E169" s="3">
        <v>1311.26</v>
      </c>
      <c r="F169" s="3">
        <v>6</v>
      </c>
      <c r="G169" s="3">
        <v>0.1</v>
      </c>
      <c r="H169" s="4">
        <v>45698</v>
      </c>
      <c r="I169" s="3">
        <v>531.05999999999995</v>
      </c>
      <c r="K169">
        <f t="shared" si="5"/>
        <v>7867.5599999999995</v>
      </c>
      <c r="L169" s="11">
        <f t="shared" ca="1" si="6"/>
        <v>46301.680254861109</v>
      </c>
    </row>
    <row r="170" spans="1:12" ht="29.4" thickBot="1" x14ac:dyDescent="0.35">
      <c r="A170" s="2" t="s">
        <v>72</v>
      </c>
      <c r="B170" s="2" t="s">
        <v>31</v>
      </c>
      <c r="C170" s="2" t="s">
        <v>20</v>
      </c>
      <c r="D170" s="2" t="s">
        <v>39</v>
      </c>
      <c r="E170" s="3">
        <v>573.32000000000005</v>
      </c>
      <c r="F170" s="3">
        <v>19</v>
      </c>
      <c r="G170" s="3">
        <v>0.1</v>
      </c>
      <c r="H170" s="4">
        <v>45703</v>
      </c>
      <c r="I170" s="3">
        <v>232.19</v>
      </c>
      <c r="K170">
        <f t="shared" si="5"/>
        <v>10893.080000000002</v>
      </c>
      <c r="L170" s="11">
        <f t="shared" ca="1" si="6"/>
        <v>46301.680254861109</v>
      </c>
    </row>
    <row r="171" spans="1:12" ht="29.4" thickBot="1" x14ac:dyDescent="0.35">
      <c r="A171" s="2" t="s">
        <v>52</v>
      </c>
      <c r="B171" s="2" t="s">
        <v>23</v>
      </c>
      <c r="C171" s="2" t="s">
        <v>11</v>
      </c>
      <c r="D171" s="2" t="s">
        <v>21</v>
      </c>
      <c r="E171" s="3">
        <v>1115.22</v>
      </c>
      <c r="F171" s="3">
        <v>14</v>
      </c>
      <c r="G171" s="3">
        <v>0.2</v>
      </c>
      <c r="H171" s="4">
        <v>45705</v>
      </c>
      <c r="I171" s="3">
        <v>223.04</v>
      </c>
      <c r="K171">
        <f t="shared" si="5"/>
        <v>15613.08</v>
      </c>
      <c r="L171" s="11">
        <f t="shared" ca="1" si="6"/>
        <v>46301.680254861109</v>
      </c>
    </row>
    <row r="172" spans="1:12" ht="29.4" thickBot="1" x14ac:dyDescent="0.35">
      <c r="A172" s="2" t="s">
        <v>13</v>
      </c>
      <c r="B172" s="2" t="s">
        <v>45</v>
      </c>
      <c r="C172" s="2" t="s">
        <v>24</v>
      </c>
      <c r="D172" s="2" t="s">
        <v>15</v>
      </c>
      <c r="E172" s="3">
        <v>845.84</v>
      </c>
      <c r="F172" s="3">
        <v>4</v>
      </c>
      <c r="G172" s="3">
        <v>0</v>
      </c>
      <c r="H172" s="4">
        <v>45707</v>
      </c>
      <c r="I172" s="3">
        <v>422.92</v>
      </c>
      <c r="K172">
        <f t="shared" si="5"/>
        <v>3383.36</v>
      </c>
      <c r="L172" s="11">
        <f t="shared" ca="1" si="6"/>
        <v>46301.680254861109</v>
      </c>
    </row>
    <row r="173" spans="1:12" ht="29.4" thickBot="1" x14ac:dyDescent="0.35">
      <c r="A173" s="2" t="s">
        <v>30</v>
      </c>
      <c r="B173" s="2" t="s">
        <v>55</v>
      </c>
      <c r="C173" s="2" t="s">
        <v>11</v>
      </c>
      <c r="D173" s="2" t="s">
        <v>21</v>
      </c>
      <c r="E173" s="3">
        <v>1029.8</v>
      </c>
      <c r="F173" s="3">
        <v>3</v>
      </c>
      <c r="G173" s="3">
        <v>0</v>
      </c>
      <c r="H173" s="4">
        <v>45708</v>
      </c>
      <c r="I173" s="3">
        <v>257.45</v>
      </c>
      <c r="K173">
        <f t="shared" si="5"/>
        <v>3089.3999999999996</v>
      </c>
      <c r="L173" s="11">
        <f t="shared" ca="1" si="6"/>
        <v>46301.680254861109</v>
      </c>
    </row>
    <row r="174" spans="1:12" ht="29.4" thickBot="1" x14ac:dyDescent="0.35">
      <c r="A174" s="2" t="s">
        <v>32</v>
      </c>
      <c r="B174" s="2" t="s">
        <v>31</v>
      </c>
      <c r="C174" s="2" t="s">
        <v>24</v>
      </c>
      <c r="D174" s="2" t="s">
        <v>12</v>
      </c>
      <c r="E174" s="3">
        <v>1189.83</v>
      </c>
      <c r="F174" s="3">
        <v>2</v>
      </c>
      <c r="G174" s="3">
        <v>0.2</v>
      </c>
      <c r="H174" s="4">
        <v>45709</v>
      </c>
      <c r="I174" s="3">
        <v>380.75</v>
      </c>
      <c r="K174">
        <f t="shared" si="5"/>
        <v>2379.66</v>
      </c>
      <c r="L174" s="11">
        <f t="shared" ca="1" si="6"/>
        <v>46301.680254861109</v>
      </c>
    </row>
    <row r="175" spans="1:12" ht="29.4" thickBot="1" x14ac:dyDescent="0.35">
      <c r="A175" s="2" t="s">
        <v>67</v>
      </c>
      <c r="B175" s="2" t="s">
        <v>43</v>
      </c>
      <c r="C175" s="2" t="s">
        <v>20</v>
      </c>
      <c r="D175" s="2" t="s">
        <v>12</v>
      </c>
      <c r="E175" s="3">
        <v>704.28</v>
      </c>
      <c r="F175" s="3">
        <v>15</v>
      </c>
      <c r="G175" s="3">
        <v>0.2</v>
      </c>
      <c r="H175" s="4">
        <v>45712</v>
      </c>
      <c r="I175" s="3">
        <v>225.37</v>
      </c>
      <c r="K175">
        <f t="shared" si="5"/>
        <v>10564.199999999999</v>
      </c>
      <c r="L175" s="11">
        <f t="shared" ca="1" si="6"/>
        <v>46301.680254861109</v>
      </c>
    </row>
    <row r="176" spans="1:12" ht="29.4" thickBot="1" x14ac:dyDescent="0.35">
      <c r="A176" s="2" t="s">
        <v>65</v>
      </c>
      <c r="B176" s="2" t="s">
        <v>47</v>
      </c>
      <c r="C176" s="2" t="s">
        <v>34</v>
      </c>
      <c r="D176" s="2" t="s">
        <v>39</v>
      </c>
      <c r="E176" s="3">
        <v>1618.22</v>
      </c>
      <c r="F176" s="3">
        <v>12</v>
      </c>
      <c r="G176" s="3">
        <v>0.2</v>
      </c>
      <c r="H176" s="4">
        <v>45712</v>
      </c>
      <c r="I176" s="3">
        <v>582.55999999999995</v>
      </c>
      <c r="K176">
        <f t="shared" si="5"/>
        <v>19418.64</v>
      </c>
      <c r="L176" s="11">
        <f t="shared" ca="1" si="6"/>
        <v>46301.680254861109</v>
      </c>
    </row>
    <row r="177" spans="1:12" ht="29.4" thickBot="1" x14ac:dyDescent="0.35">
      <c r="A177" s="2" t="s">
        <v>73</v>
      </c>
      <c r="B177" s="2" t="s">
        <v>53</v>
      </c>
      <c r="C177" s="2" t="s">
        <v>34</v>
      </c>
      <c r="D177" s="2" t="s">
        <v>12</v>
      </c>
      <c r="E177" s="3">
        <v>1014.43</v>
      </c>
      <c r="F177" s="3">
        <v>2</v>
      </c>
      <c r="G177" s="3">
        <v>0.15</v>
      </c>
      <c r="H177" s="4">
        <v>45713</v>
      </c>
      <c r="I177" s="3">
        <v>344.91</v>
      </c>
      <c r="K177">
        <f t="shared" si="5"/>
        <v>2028.86</v>
      </c>
      <c r="L177" s="11">
        <f t="shared" ca="1" si="6"/>
        <v>46301.680254861109</v>
      </c>
    </row>
    <row r="178" spans="1:12" ht="29.4" thickBot="1" x14ac:dyDescent="0.35">
      <c r="A178" s="2" t="s">
        <v>75</v>
      </c>
      <c r="B178" s="2" t="s">
        <v>31</v>
      </c>
      <c r="C178" s="2" t="s">
        <v>34</v>
      </c>
      <c r="D178" s="2" t="s">
        <v>15</v>
      </c>
      <c r="E178" s="3">
        <v>826.97</v>
      </c>
      <c r="F178" s="3">
        <v>18</v>
      </c>
      <c r="G178" s="3">
        <v>0.2</v>
      </c>
      <c r="H178" s="4">
        <v>45715</v>
      </c>
      <c r="I178" s="3">
        <v>330.79</v>
      </c>
      <c r="K178">
        <f t="shared" si="5"/>
        <v>14885.460000000001</v>
      </c>
      <c r="L178" s="11">
        <f t="shared" ca="1" si="6"/>
        <v>46301.680254861109</v>
      </c>
    </row>
    <row r="179" spans="1:12" ht="29.4" thickBot="1" x14ac:dyDescent="0.35">
      <c r="A179" s="2" t="s">
        <v>16</v>
      </c>
      <c r="B179" s="2" t="s">
        <v>31</v>
      </c>
      <c r="C179" s="2" t="s">
        <v>34</v>
      </c>
      <c r="D179" s="2" t="s">
        <v>15</v>
      </c>
      <c r="E179" s="3">
        <v>1022.23</v>
      </c>
      <c r="F179" s="3">
        <v>8</v>
      </c>
      <c r="G179" s="3">
        <v>0.1</v>
      </c>
      <c r="H179" s="4">
        <v>45717</v>
      </c>
      <c r="I179" s="3">
        <v>460</v>
      </c>
      <c r="K179">
        <f t="shared" si="5"/>
        <v>8177.84</v>
      </c>
      <c r="L179" s="11">
        <f t="shared" ca="1" si="6"/>
        <v>46301.680254861109</v>
      </c>
    </row>
    <row r="180" spans="1:12" ht="29.4" thickBot="1" x14ac:dyDescent="0.35">
      <c r="A180" s="2" t="s">
        <v>72</v>
      </c>
      <c r="B180" s="2" t="s">
        <v>29</v>
      </c>
      <c r="C180" s="2" t="s">
        <v>18</v>
      </c>
      <c r="D180" s="2" t="s">
        <v>12</v>
      </c>
      <c r="E180" s="3">
        <v>1099.69</v>
      </c>
      <c r="F180" s="3">
        <v>6</v>
      </c>
      <c r="G180" s="3">
        <v>0</v>
      </c>
      <c r="H180" s="4">
        <v>45718</v>
      </c>
      <c r="I180" s="3">
        <v>439.88</v>
      </c>
      <c r="K180">
        <f t="shared" si="5"/>
        <v>6598.14</v>
      </c>
      <c r="L180" s="11">
        <f t="shared" ca="1" si="6"/>
        <v>46301.680254861109</v>
      </c>
    </row>
    <row r="181" spans="1:12" ht="29.4" thickBot="1" x14ac:dyDescent="0.35">
      <c r="A181" s="2" t="s">
        <v>52</v>
      </c>
      <c r="B181" s="2" t="s">
        <v>64</v>
      </c>
      <c r="C181" s="2" t="s">
        <v>24</v>
      </c>
      <c r="D181" s="2" t="s">
        <v>12</v>
      </c>
      <c r="E181" s="3">
        <v>710.52</v>
      </c>
      <c r="F181" s="3">
        <v>8</v>
      </c>
      <c r="G181" s="3">
        <v>0.1</v>
      </c>
      <c r="H181" s="4">
        <v>45721</v>
      </c>
      <c r="I181" s="3">
        <v>255.79</v>
      </c>
      <c r="K181">
        <f t="shared" si="5"/>
        <v>5684.16</v>
      </c>
      <c r="L181" s="11">
        <f t="shared" ca="1" si="6"/>
        <v>46301.680254861109</v>
      </c>
    </row>
    <row r="182" spans="1:12" ht="29.4" thickBot="1" x14ac:dyDescent="0.35">
      <c r="A182" s="2" t="s">
        <v>52</v>
      </c>
      <c r="B182" s="2" t="s">
        <v>59</v>
      </c>
      <c r="C182" s="2" t="s">
        <v>24</v>
      </c>
      <c r="D182" s="2" t="s">
        <v>12</v>
      </c>
      <c r="E182" s="3">
        <v>499.18</v>
      </c>
      <c r="F182" s="3">
        <v>15</v>
      </c>
      <c r="G182" s="3">
        <v>0.2</v>
      </c>
      <c r="H182" s="4">
        <v>45724</v>
      </c>
      <c r="I182" s="3">
        <v>159.74</v>
      </c>
      <c r="K182">
        <f t="shared" si="5"/>
        <v>7487.7</v>
      </c>
      <c r="L182" s="11">
        <f t="shared" ca="1" si="6"/>
        <v>46301.680254861109</v>
      </c>
    </row>
    <row r="183" spans="1:12" ht="29.4" thickBot="1" x14ac:dyDescent="0.35">
      <c r="A183" s="2" t="s">
        <v>37</v>
      </c>
      <c r="B183" s="2" t="s">
        <v>38</v>
      </c>
      <c r="C183" s="2" t="s">
        <v>20</v>
      </c>
      <c r="D183" s="2" t="s">
        <v>12</v>
      </c>
      <c r="E183" s="3">
        <v>1064.19</v>
      </c>
      <c r="F183" s="3">
        <v>18</v>
      </c>
      <c r="G183" s="3">
        <v>0.05</v>
      </c>
      <c r="H183" s="4">
        <v>45725</v>
      </c>
      <c r="I183" s="3">
        <v>404.39</v>
      </c>
      <c r="K183">
        <f t="shared" si="5"/>
        <v>19155.420000000002</v>
      </c>
      <c r="L183" s="11">
        <f t="shared" ca="1" si="6"/>
        <v>46301.680254861109</v>
      </c>
    </row>
    <row r="184" spans="1:12" ht="29.4" thickBot="1" x14ac:dyDescent="0.35">
      <c r="A184" s="2" t="s">
        <v>67</v>
      </c>
      <c r="B184" s="2" t="s">
        <v>38</v>
      </c>
      <c r="C184" s="2" t="s">
        <v>18</v>
      </c>
      <c r="D184" s="2" t="s">
        <v>39</v>
      </c>
      <c r="E184" s="3">
        <v>438.76</v>
      </c>
      <c r="F184" s="3">
        <v>18</v>
      </c>
      <c r="G184" s="3">
        <v>0.05</v>
      </c>
      <c r="H184" s="4">
        <v>45726</v>
      </c>
      <c r="I184" s="3">
        <v>187.57</v>
      </c>
      <c r="K184">
        <f t="shared" si="5"/>
        <v>7897.68</v>
      </c>
      <c r="L184" s="11">
        <f t="shared" ca="1" si="6"/>
        <v>46301.680254861109</v>
      </c>
    </row>
    <row r="185" spans="1:12" ht="29.4" thickBot="1" x14ac:dyDescent="0.35">
      <c r="A185" s="2" t="s">
        <v>41</v>
      </c>
      <c r="B185" s="2" t="s">
        <v>55</v>
      </c>
      <c r="C185" s="2" t="s">
        <v>11</v>
      </c>
      <c r="D185" s="2" t="s">
        <v>15</v>
      </c>
      <c r="E185" s="3">
        <v>864.98</v>
      </c>
      <c r="F185" s="3">
        <v>2</v>
      </c>
      <c r="G185" s="3">
        <v>0.05</v>
      </c>
      <c r="H185" s="4">
        <v>45727</v>
      </c>
      <c r="I185" s="3">
        <v>410.87</v>
      </c>
      <c r="K185">
        <f t="shared" si="5"/>
        <v>1729.96</v>
      </c>
      <c r="L185" s="11">
        <f t="shared" ca="1" si="6"/>
        <v>46301.680254861109</v>
      </c>
    </row>
    <row r="186" spans="1:12" ht="29.4" thickBot="1" x14ac:dyDescent="0.35">
      <c r="A186" s="2" t="s">
        <v>57</v>
      </c>
      <c r="B186" s="2" t="s">
        <v>55</v>
      </c>
      <c r="C186" s="2" t="s">
        <v>11</v>
      </c>
      <c r="D186" s="2" t="s">
        <v>27</v>
      </c>
      <c r="E186" s="3">
        <v>984.93</v>
      </c>
      <c r="F186" s="3">
        <v>14</v>
      </c>
      <c r="G186" s="3">
        <v>0.2</v>
      </c>
      <c r="H186" s="4">
        <v>45733</v>
      </c>
      <c r="I186" s="3">
        <v>275.77999999999997</v>
      </c>
      <c r="K186">
        <f t="shared" si="5"/>
        <v>13789.019999999999</v>
      </c>
      <c r="L186" s="11">
        <f t="shared" ca="1" si="6"/>
        <v>46301.680254861109</v>
      </c>
    </row>
    <row r="187" spans="1:12" ht="29.4" thickBot="1" x14ac:dyDescent="0.35">
      <c r="A187" s="2" t="s">
        <v>25</v>
      </c>
      <c r="B187" s="2" t="s">
        <v>55</v>
      </c>
      <c r="C187" s="2" t="s">
        <v>11</v>
      </c>
      <c r="D187" s="2" t="s">
        <v>15</v>
      </c>
      <c r="E187" s="3">
        <v>1493.49</v>
      </c>
      <c r="F187" s="3">
        <v>18</v>
      </c>
      <c r="G187" s="3">
        <v>0</v>
      </c>
      <c r="H187" s="4">
        <v>45734</v>
      </c>
      <c r="I187" s="3">
        <v>746.74</v>
      </c>
      <c r="K187">
        <f t="shared" si="5"/>
        <v>26882.82</v>
      </c>
      <c r="L187" s="11">
        <f t="shared" ca="1" si="6"/>
        <v>46301.680254861109</v>
      </c>
    </row>
    <row r="188" spans="1:12" ht="29.4" thickBot="1" x14ac:dyDescent="0.35">
      <c r="A188" s="2" t="s">
        <v>32</v>
      </c>
      <c r="B188" s="2" t="s">
        <v>53</v>
      </c>
      <c r="C188" s="2" t="s">
        <v>20</v>
      </c>
      <c r="D188" s="2" t="s">
        <v>15</v>
      </c>
      <c r="E188" s="3">
        <v>689.43</v>
      </c>
      <c r="F188" s="3">
        <v>9</v>
      </c>
      <c r="G188" s="3">
        <v>0.1</v>
      </c>
      <c r="H188" s="4">
        <v>45736</v>
      </c>
      <c r="I188" s="3">
        <v>310.24</v>
      </c>
      <c r="K188">
        <f t="shared" si="5"/>
        <v>6204.87</v>
      </c>
      <c r="L188" s="11">
        <f t="shared" ca="1" si="6"/>
        <v>46301.680254861109</v>
      </c>
    </row>
    <row r="189" spans="1:12" ht="29.4" thickBot="1" x14ac:dyDescent="0.35">
      <c r="A189" s="2" t="s">
        <v>40</v>
      </c>
      <c r="B189" s="2" t="s">
        <v>59</v>
      </c>
      <c r="C189" s="2" t="s">
        <v>20</v>
      </c>
      <c r="D189" s="2" t="s">
        <v>15</v>
      </c>
      <c r="E189" s="3">
        <v>682.24</v>
      </c>
      <c r="F189" s="3">
        <v>1</v>
      </c>
      <c r="G189" s="3">
        <v>0</v>
      </c>
      <c r="H189" s="4">
        <v>45738</v>
      </c>
      <c r="I189" s="3">
        <v>341.12</v>
      </c>
      <c r="K189">
        <f t="shared" si="5"/>
        <v>682.24</v>
      </c>
      <c r="L189" s="11">
        <f t="shared" ca="1" si="6"/>
        <v>46301.680254861109</v>
      </c>
    </row>
    <row r="190" spans="1:12" ht="29.4" thickBot="1" x14ac:dyDescent="0.35">
      <c r="A190" s="2" t="s">
        <v>41</v>
      </c>
      <c r="B190" s="2" t="s">
        <v>26</v>
      </c>
      <c r="C190" s="2" t="s">
        <v>24</v>
      </c>
      <c r="D190" s="2" t="s">
        <v>21</v>
      </c>
      <c r="E190" s="3">
        <v>458.54</v>
      </c>
      <c r="F190" s="3">
        <v>15</v>
      </c>
      <c r="G190" s="3">
        <v>0.2</v>
      </c>
      <c r="H190" s="4">
        <v>45741</v>
      </c>
      <c r="I190" s="3">
        <v>91.71</v>
      </c>
      <c r="K190">
        <f t="shared" si="5"/>
        <v>6878.1</v>
      </c>
      <c r="L190" s="11">
        <f t="shared" ca="1" si="6"/>
        <v>46301.680254861109</v>
      </c>
    </row>
    <row r="191" spans="1:12" ht="29.4" thickBot="1" x14ac:dyDescent="0.35">
      <c r="A191" s="2" t="s">
        <v>32</v>
      </c>
      <c r="B191" s="2" t="s">
        <v>26</v>
      </c>
      <c r="C191" s="2" t="s">
        <v>20</v>
      </c>
      <c r="D191" s="2" t="s">
        <v>27</v>
      </c>
      <c r="E191" s="3">
        <v>1184.25</v>
      </c>
      <c r="F191" s="3">
        <v>11</v>
      </c>
      <c r="G191" s="3">
        <v>0.2</v>
      </c>
      <c r="H191" s="4">
        <v>45742</v>
      </c>
      <c r="I191" s="3">
        <v>331.59</v>
      </c>
      <c r="K191">
        <f t="shared" si="5"/>
        <v>13026.75</v>
      </c>
      <c r="L191" s="11">
        <f t="shared" ca="1" si="6"/>
        <v>46301.680254861109</v>
      </c>
    </row>
    <row r="192" spans="1:12" ht="29.4" thickBot="1" x14ac:dyDescent="0.35">
      <c r="A192" s="2" t="s">
        <v>25</v>
      </c>
      <c r="B192" s="2" t="s">
        <v>10</v>
      </c>
      <c r="C192" s="2" t="s">
        <v>20</v>
      </c>
      <c r="D192" s="2" t="s">
        <v>15</v>
      </c>
      <c r="E192" s="3">
        <v>762.14</v>
      </c>
      <c r="F192" s="3">
        <v>9</v>
      </c>
      <c r="G192" s="3">
        <v>0</v>
      </c>
      <c r="H192" s="4">
        <v>45743</v>
      </c>
      <c r="I192" s="3">
        <v>381.07</v>
      </c>
      <c r="K192">
        <f t="shared" si="5"/>
        <v>6859.26</v>
      </c>
      <c r="L192" s="11">
        <f t="shared" ca="1" si="6"/>
        <v>46301.680254861109</v>
      </c>
    </row>
    <row r="193" spans="1:12" ht="29.4" thickBot="1" x14ac:dyDescent="0.35">
      <c r="A193" s="2" t="s">
        <v>22</v>
      </c>
      <c r="B193" s="2" t="s">
        <v>53</v>
      </c>
      <c r="C193" s="2" t="s">
        <v>24</v>
      </c>
      <c r="D193" s="2" t="s">
        <v>12</v>
      </c>
      <c r="E193" s="3">
        <v>750.71</v>
      </c>
      <c r="F193" s="3">
        <v>10</v>
      </c>
      <c r="G193" s="3">
        <v>0.15</v>
      </c>
      <c r="H193" s="4">
        <v>45743</v>
      </c>
      <c r="I193" s="3">
        <v>255.24</v>
      </c>
      <c r="K193">
        <f t="shared" si="5"/>
        <v>7507.1</v>
      </c>
      <c r="L193" s="11">
        <f t="shared" ca="1" si="6"/>
        <v>46301.680254861109</v>
      </c>
    </row>
    <row r="194" spans="1:12" ht="29.4" thickBot="1" x14ac:dyDescent="0.35">
      <c r="A194" s="2" t="s">
        <v>75</v>
      </c>
      <c r="B194" s="2" t="s">
        <v>71</v>
      </c>
      <c r="C194" s="2" t="s">
        <v>34</v>
      </c>
      <c r="D194" s="2" t="s">
        <v>15</v>
      </c>
      <c r="E194" s="3">
        <v>1456.94</v>
      </c>
      <c r="F194" s="3">
        <v>14</v>
      </c>
      <c r="G194" s="3">
        <v>0.05</v>
      </c>
      <c r="H194" s="4">
        <v>45745</v>
      </c>
      <c r="I194" s="3">
        <v>692.05</v>
      </c>
      <c r="K194">
        <f t="shared" si="5"/>
        <v>20397.16</v>
      </c>
      <c r="L194" s="11">
        <f t="shared" ca="1" si="6"/>
        <v>46301.680254861109</v>
      </c>
    </row>
    <row r="195" spans="1:12" ht="29.4" thickBot="1" x14ac:dyDescent="0.35">
      <c r="A195" s="2" t="s">
        <v>44</v>
      </c>
      <c r="B195" s="2" t="s">
        <v>61</v>
      </c>
      <c r="C195" s="2" t="s">
        <v>18</v>
      </c>
      <c r="D195" s="2" t="s">
        <v>27</v>
      </c>
      <c r="E195" s="3">
        <v>1093.3800000000001</v>
      </c>
      <c r="F195" s="3">
        <v>17</v>
      </c>
      <c r="G195" s="3">
        <v>0.1</v>
      </c>
      <c r="H195" s="4">
        <v>45745</v>
      </c>
      <c r="I195" s="3">
        <v>344.41</v>
      </c>
      <c r="K195">
        <f t="shared" ref="K195:K200" si="7">E195*F195</f>
        <v>18587.460000000003</v>
      </c>
      <c r="L195" s="11">
        <f t="shared" ref="L195:L200" ca="1" si="8">NOW()</f>
        <v>46301.680254861109</v>
      </c>
    </row>
    <row r="196" spans="1:12" ht="29.4" thickBot="1" x14ac:dyDescent="0.35">
      <c r="A196" s="2" t="s">
        <v>37</v>
      </c>
      <c r="B196" s="2" t="s">
        <v>43</v>
      </c>
      <c r="C196" s="2" t="s">
        <v>11</v>
      </c>
      <c r="D196" s="2" t="s">
        <v>15</v>
      </c>
      <c r="E196" s="3">
        <v>934.27</v>
      </c>
      <c r="F196" s="3">
        <v>8</v>
      </c>
      <c r="G196" s="3">
        <v>0.15</v>
      </c>
      <c r="H196" s="4">
        <v>45746</v>
      </c>
      <c r="I196" s="3">
        <v>397.06</v>
      </c>
      <c r="K196">
        <f t="shared" si="7"/>
        <v>7474.16</v>
      </c>
      <c r="L196" s="11">
        <f t="shared" ca="1" si="8"/>
        <v>46301.680254861109</v>
      </c>
    </row>
    <row r="197" spans="1:12" ht="29.4" thickBot="1" x14ac:dyDescent="0.35">
      <c r="A197" s="2" t="s">
        <v>70</v>
      </c>
      <c r="B197" s="2" t="s">
        <v>36</v>
      </c>
      <c r="C197" s="2" t="s">
        <v>34</v>
      </c>
      <c r="D197" s="2" t="s">
        <v>15</v>
      </c>
      <c r="E197" s="3">
        <v>1465.35</v>
      </c>
      <c r="F197" s="3">
        <v>8</v>
      </c>
      <c r="G197" s="3">
        <v>0.2</v>
      </c>
      <c r="H197" s="4">
        <v>45746</v>
      </c>
      <c r="I197" s="3">
        <v>586.14</v>
      </c>
      <c r="K197">
        <f t="shared" si="7"/>
        <v>11722.8</v>
      </c>
      <c r="L197" s="11">
        <f t="shared" ca="1" si="8"/>
        <v>46301.680254861109</v>
      </c>
    </row>
    <row r="198" spans="1:12" ht="29.4" thickBot="1" x14ac:dyDescent="0.35">
      <c r="A198" s="2" t="s">
        <v>52</v>
      </c>
      <c r="B198" s="2" t="s">
        <v>14</v>
      </c>
      <c r="C198" s="2" t="s">
        <v>20</v>
      </c>
      <c r="D198" s="2" t="s">
        <v>39</v>
      </c>
      <c r="E198" s="3">
        <v>740.8</v>
      </c>
      <c r="F198" s="3">
        <v>3</v>
      </c>
      <c r="G198" s="3">
        <v>0</v>
      </c>
      <c r="H198" s="4">
        <v>45749</v>
      </c>
      <c r="I198" s="3">
        <v>333.36</v>
      </c>
      <c r="K198">
        <f t="shared" si="7"/>
        <v>2222.3999999999996</v>
      </c>
      <c r="L198" s="11">
        <f t="shared" ca="1" si="8"/>
        <v>46301.680254861109</v>
      </c>
    </row>
    <row r="199" spans="1:12" ht="29.4" thickBot="1" x14ac:dyDescent="0.35">
      <c r="A199" s="2" t="s">
        <v>58</v>
      </c>
      <c r="B199" s="2" t="s">
        <v>43</v>
      </c>
      <c r="C199" s="2" t="s">
        <v>11</v>
      </c>
      <c r="D199" s="2" t="s">
        <v>39</v>
      </c>
      <c r="E199" s="3">
        <v>545.44000000000005</v>
      </c>
      <c r="F199" s="3">
        <v>17</v>
      </c>
      <c r="G199" s="3">
        <v>0</v>
      </c>
      <c r="H199" s="4">
        <v>45752</v>
      </c>
      <c r="I199" s="3">
        <v>245.45</v>
      </c>
      <c r="K199">
        <f t="shared" si="7"/>
        <v>9272.4800000000014</v>
      </c>
      <c r="L199" s="11">
        <f t="shared" ca="1" si="8"/>
        <v>46301.680254861109</v>
      </c>
    </row>
    <row r="200" spans="1:12" ht="30.6" customHeight="1" thickBot="1" x14ac:dyDescent="0.35">
      <c r="A200" s="2" t="s">
        <v>35</v>
      </c>
      <c r="B200" s="2" t="s">
        <v>36</v>
      </c>
      <c r="C200" s="2" t="s">
        <v>18</v>
      </c>
      <c r="D200" s="2" t="s">
        <v>12</v>
      </c>
      <c r="E200" s="3">
        <v>997.61</v>
      </c>
      <c r="F200" s="3">
        <v>8</v>
      </c>
      <c r="G200" s="3">
        <v>0.05</v>
      </c>
      <c r="H200" s="4">
        <v>45752</v>
      </c>
      <c r="I200" s="3">
        <v>379.09</v>
      </c>
      <c r="K200">
        <f t="shared" si="7"/>
        <v>7980.88</v>
      </c>
      <c r="L200" s="11">
        <f t="shared" ca="1" si="8"/>
        <v>46301.680254861109</v>
      </c>
    </row>
  </sheetData>
  <conditionalFormatting sqref="A1:I200 L1:O1">
    <cfRule type="top10" dxfId="3" priority="2" rank="10"/>
  </conditionalFormatting>
  <conditionalFormatting sqref="B1:B1048576">
    <cfRule type="top10" dxfId="2" priority="3" rank="10"/>
  </conditionalFormatting>
  <conditionalFormatting sqref="K1:K200">
    <cfRule type="top10" dxfId="1" priority="1" rank="10"/>
  </conditionalFormatting>
  <conditionalFormatting sqref="L2:L200">
    <cfRule type="top10" dxfId="0" priority="4" rank="1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94C7F-CC92-487E-872E-68240DA92475}">
  <dimension ref="A1:H14"/>
  <sheetViews>
    <sheetView tabSelected="1" topLeftCell="A7" workbookViewId="0">
      <selection activeCell="M24" sqref="M24"/>
    </sheetView>
  </sheetViews>
  <sheetFormatPr defaultRowHeight="14.4" x14ac:dyDescent="0.3"/>
  <cols>
    <col min="1" max="1" width="10" customWidth="1"/>
    <col min="5" max="6" width="12" customWidth="1"/>
    <col min="7" max="7" width="13" customWidth="1"/>
  </cols>
  <sheetData>
    <row r="1" spans="1:8" ht="25.8" x14ac:dyDescent="0.5">
      <c r="A1" s="15" t="s">
        <v>121</v>
      </c>
      <c r="B1" s="16"/>
      <c r="C1" s="16"/>
      <c r="D1" s="16"/>
      <c r="E1" s="16"/>
      <c r="F1" s="16"/>
      <c r="G1" s="16"/>
      <c r="H1" s="16"/>
    </row>
    <row r="3" spans="1:8" x14ac:dyDescent="0.3">
      <c r="A3" t="s">
        <v>78</v>
      </c>
      <c r="C3" t="s">
        <v>122</v>
      </c>
      <c r="E3" t="s">
        <v>123</v>
      </c>
      <c r="G3" t="s">
        <v>124</v>
      </c>
    </row>
    <row r="4" spans="1:8" x14ac:dyDescent="0.3">
      <c r="A4">
        <f>SUM(Sheet1!K:K)</f>
        <v>1943110.0499999993</v>
      </c>
      <c r="C4">
        <f>SUM(Sheet1!I:I)</f>
        <v>67846.060000000012</v>
      </c>
      <c r="E4">
        <f>SUM(Sheet1!F:F)</f>
        <v>1997</v>
      </c>
      <c r="G4">
        <f>AVERAGE(Sheet1!E:E)</f>
        <v>976.3288442211051</v>
      </c>
    </row>
    <row r="7" spans="1:8" x14ac:dyDescent="0.3">
      <c r="A7" s="5" t="s">
        <v>79</v>
      </c>
      <c r="B7" s="5" t="s">
        <v>80</v>
      </c>
    </row>
    <row r="8" spans="1:8" x14ac:dyDescent="0.3">
      <c r="A8" s="5" t="s">
        <v>76</v>
      </c>
      <c r="B8" t="s">
        <v>12</v>
      </c>
      <c r="C8" t="s">
        <v>15</v>
      </c>
      <c r="D8" t="s">
        <v>21</v>
      </c>
      <c r="E8" t="s">
        <v>27</v>
      </c>
      <c r="F8" t="s">
        <v>39</v>
      </c>
      <c r="G8" t="s">
        <v>77</v>
      </c>
    </row>
    <row r="9" spans="1:8" x14ac:dyDescent="0.3">
      <c r="A9" s="6" t="s">
        <v>34</v>
      </c>
      <c r="B9">
        <v>111703.11</v>
      </c>
      <c r="C9">
        <v>131112.08000000002</v>
      </c>
      <c r="D9">
        <v>46833.81</v>
      </c>
      <c r="E9">
        <v>52264.37</v>
      </c>
      <c r="F9">
        <v>69377.25</v>
      </c>
      <c r="G9">
        <v>411290.62</v>
      </c>
    </row>
    <row r="10" spans="1:8" x14ac:dyDescent="0.3">
      <c r="A10" s="6" t="s">
        <v>18</v>
      </c>
      <c r="B10">
        <v>114077.53</v>
      </c>
      <c r="C10">
        <v>28796.36</v>
      </c>
      <c r="D10">
        <v>30233.27</v>
      </c>
      <c r="E10">
        <v>101055.84999999999</v>
      </c>
      <c r="F10">
        <v>96560.239999999991</v>
      </c>
      <c r="G10">
        <v>370723.25</v>
      </c>
    </row>
    <row r="11" spans="1:8" x14ac:dyDescent="0.3">
      <c r="A11" s="6" t="s">
        <v>24</v>
      </c>
      <c r="B11">
        <v>81566.62000000001</v>
      </c>
      <c r="C11">
        <v>80866.950000000012</v>
      </c>
      <c r="D11">
        <v>68660.670000000013</v>
      </c>
      <c r="E11">
        <v>67971.259999999995</v>
      </c>
      <c r="F11">
        <v>31642.59</v>
      </c>
      <c r="G11">
        <v>330708.09000000003</v>
      </c>
    </row>
    <row r="12" spans="1:8" x14ac:dyDescent="0.3">
      <c r="A12" s="6" t="s">
        <v>20</v>
      </c>
      <c r="B12">
        <v>105665.38</v>
      </c>
      <c r="C12">
        <v>49695.25</v>
      </c>
      <c r="D12">
        <v>108159.85999999997</v>
      </c>
      <c r="E12">
        <v>72367.650000000009</v>
      </c>
      <c r="F12">
        <v>31758.28</v>
      </c>
      <c r="G12">
        <v>367646.42000000004</v>
      </c>
    </row>
    <row r="13" spans="1:8" x14ac:dyDescent="0.3">
      <c r="A13" s="6" t="s">
        <v>11</v>
      </c>
      <c r="B13">
        <v>74553.33</v>
      </c>
      <c r="C13">
        <v>109729.74000000002</v>
      </c>
      <c r="D13">
        <v>153861.12999999998</v>
      </c>
      <c r="E13">
        <v>63281.060000000005</v>
      </c>
      <c r="F13">
        <v>61316.409999999996</v>
      </c>
      <c r="G13">
        <v>462741.66999999993</v>
      </c>
    </row>
    <row r="14" spans="1:8" x14ac:dyDescent="0.3">
      <c r="A14" s="6" t="s">
        <v>77</v>
      </c>
      <c r="B14">
        <v>487565.97000000003</v>
      </c>
      <c r="C14">
        <v>400200.38</v>
      </c>
      <c r="D14">
        <v>407748.74</v>
      </c>
      <c r="E14">
        <v>356940.19</v>
      </c>
      <c r="F14">
        <v>290654.76999999996</v>
      </c>
      <c r="G14">
        <v>1943110.0499999998</v>
      </c>
    </row>
  </sheetData>
  <mergeCells count="1">
    <mergeCell ref="A1:H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monthly summary</vt:lpstr>
      <vt:lpstr>Sheet4</vt:lpstr>
      <vt:lpstr>Sheet5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Niyati Patel</dc:creator>
  <cp:lastModifiedBy>Niyati Patel</cp:lastModifiedBy>
  <dcterms:created xsi:type="dcterms:W3CDTF">2026-10-06T09:25:53Z</dcterms:created>
  <dcterms:modified xsi:type="dcterms:W3CDTF">2026-10-06T10:49:37Z</dcterms:modified>
</cp:coreProperties>
</file>